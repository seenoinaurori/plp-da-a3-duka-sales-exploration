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6d53ed39e5b26fd/Desktop/expense tracker/postgres-performance-lab/plp-da-a3-duka-sales-exploration/excel/"/>
    </mc:Choice>
  </mc:AlternateContent>
  <xr:revisionPtr revIDLastSave="1" documentId="11_F10C14E60330C8C9CC4E88CF01318D5B3EB14C2B" xr6:coauthVersionLast="47" xr6:coauthVersionMax="47" xr10:uidLastSave="{CCA7725C-8228-4BE8-A219-05FDAD697114}"/>
  <bookViews>
    <workbookView xWindow="-110" yWindow="-110" windowWidth="19420" windowHeight="11500" xr2:uid="{00000000-000D-0000-FFFF-FFFF00000000}"/>
  </bookViews>
  <sheets>
    <sheet name="Orders" sheetId="1" r:id="rId1"/>
    <sheet name="Region Lookup" sheetId="2" r:id="rId2"/>
    <sheet name="Branch Summary" sheetId="3" r:id="rId3"/>
    <sheet name="PivotTable" sheetId="4" r:id="rId4"/>
  </sheets>
  <calcPr calcId="191029" forceFullCalc="1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D2" i="3"/>
  <c r="C2" i="3"/>
  <c r="B2" i="3"/>
</calcChain>
</file>

<file path=xl/sharedStrings.xml><?xml version="1.0" encoding="utf-8"?>
<sst xmlns="http://schemas.openxmlformats.org/spreadsheetml/2006/main" count="10061" uniqueCount="1250">
  <si>
    <t>order_id</t>
  </si>
  <si>
    <t>order_date</t>
  </si>
  <si>
    <t>branch</t>
  </si>
  <si>
    <t>region</t>
  </si>
  <si>
    <t>product</t>
  </si>
  <si>
    <t>category</t>
  </si>
  <si>
    <t>channel</t>
  </si>
  <si>
    <t>units_sold</t>
  </si>
  <si>
    <t>unit_price</t>
  </si>
  <si>
    <t>revenue</t>
  </si>
  <si>
    <t>month</t>
  </si>
  <si>
    <t>weekday</t>
  </si>
  <si>
    <t>is_weekend</t>
  </si>
  <si>
    <t>price_band</t>
  </si>
  <si>
    <t>DUKA-0001</t>
  </si>
  <si>
    <t>2026-03-24</t>
  </si>
  <si>
    <t>Mombasa</t>
  </si>
  <si>
    <t>Coast</t>
  </si>
  <si>
    <t>Smart Watch</t>
  </si>
  <si>
    <t>Wearables</t>
  </si>
  <si>
    <t>Online</t>
  </si>
  <si>
    <t>March</t>
  </si>
  <si>
    <t>Tuesday</t>
  </si>
  <si>
    <t>Value</t>
  </si>
  <si>
    <t>DUKA-0002</t>
  </si>
  <si>
    <t>2026-06-07</t>
  </si>
  <si>
    <t>Nairobi</t>
  </si>
  <si>
    <t>Capital</t>
  </si>
  <si>
    <t>Laptop Pro 14</t>
  </si>
  <si>
    <t>Computing</t>
  </si>
  <si>
    <t>In-store</t>
  </si>
  <si>
    <t>June</t>
  </si>
  <si>
    <t>Sunday</t>
  </si>
  <si>
    <t>Premium</t>
  </si>
  <si>
    <t>DUKA-0003</t>
  </si>
  <si>
    <t>2026-05-15</t>
  </si>
  <si>
    <t>Smartphone X</t>
  </si>
  <si>
    <t>Mobile</t>
  </si>
  <si>
    <t>May</t>
  </si>
  <si>
    <t>Friday</t>
  </si>
  <si>
    <t>DUKA-0004</t>
  </si>
  <si>
    <t>2026-02-18</t>
  </si>
  <si>
    <t>Thika</t>
  </si>
  <si>
    <t>Central</t>
  </si>
  <si>
    <t>HD Television 32in</t>
  </si>
  <si>
    <t>Television</t>
  </si>
  <si>
    <t>February</t>
  </si>
  <si>
    <t>Wednesday</t>
  </si>
  <si>
    <t>DUKA-0005</t>
  </si>
  <si>
    <t>2026-04-16</t>
  </si>
  <si>
    <t>Kisumu</t>
  </si>
  <si>
    <t>Western</t>
  </si>
  <si>
    <t>Wireless Headphones</t>
  </si>
  <si>
    <t>Audio</t>
  </si>
  <si>
    <t>April</t>
  </si>
  <si>
    <t>Thursday</t>
  </si>
  <si>
    <t>DUKA-0006</t>
  </si>
  <si>
    <t>2026-06-11</t>
  </si>
  <si>
    <t>Nakuru</t>
  </si>
  <si>
    <t>Rift Valley</t>
  </si>
  <si>
    <t>Bluetooth Speaker</t>
  </si>
  <si>
    <t>DUKA-0007</t>
  </si>
  <si>
    <t>2026-06-21</t>
  </si>
  <si>
    <t>DUKA-0008</t>
  </si>
  <si>
    <t>2026-02-25</t>
  </si>
  <si>
    <t>Westlands</t>
  </si>
  <si>
    <t>DUKA-0009</t>
  </si>
  <si>
    <t>Eldoret</t>
  </si>
  <si>
    <t>DUKA-0010</t>
  </si>
  <si>
    <t>2026-01-11</t>
  </si>
  <si>
    <t>January</t>
  </si>
  <si>
    <t>DUKA-0011</t>
  </si>
  <si>
    <t>2026-05-19</t>
  </si>
  <si>
    <t>Nyeri</t>
  </si>
  <si>
    <t>Power Bank 20K</t>
  </si>
  <si>
    <t>Accessories</t>
  </si>
  <si>
    <t>DUKA-0012</t>
  </si>
  <si>
    <t>2026-02-22</t>
  </si>
  <si>
    <t>DUKA-0013</t>
  </si>
  <si>
    <t>2026-03-06</t>
  </si>
  <si>
    <t>Wi-Fi Router AX</t>
  </si>
  <si>
    <t>Networking</t>
  </si>
  <si>
    <t>DUKA-0014</t>
  </si>
  <si>
    <t>2026-03-11</t>
  </si>
  <si>
    <t>DUKA-0015</t>
  </si>
  <si>
    <t>2026-01-18</t>
  </si>
  <si>
    <t>DUKA-0016</t>
  </si>
  <si>
    <t>2026-01-19</t>
  </si>
  <si>
    <t>Monday</t>
  </si>
  <si>
    <t>DUKA-0017</t>
  </si>
  <si>
    <t>DUKA-0018</t>
  </si>
  <si>
    <t>2026-03-19</t>
  </si>
  <si>
    <t>DUKA-0019</t>
  </si>
  <si>
    <t>2026-03-01</t>
  </si>
  <si>
    <t>Budget Smartphone</t>
  </si>
  <si>
    <t>DUKA-0020</t>
  </si>
  <si>
    <t>2026-05-25</t>
  </si>
  <si>
    <t>Chromebook Air</t>
  </si>
  <si>
    <t>DUKA-0021</t>
  </si>
  <si>
    <t>2026-02-09</t>
  </si>
  <si>
    <t>DUKA-0022</t>
  </si>
  <si>
    <t>2026-03-16</t>
  </si>
  <si>
    <t>Tablet 10in</t>
  </si>
  <si>
    <t>DUKA-0023</t>
  </si>
  <si>
    <t>2026-02-27</t>
  </si>
  <si>
    <t>DUKA-0024</t>
  </si>
  <si>
    <t>2026-03-31</t>
  </si>
  <si>
    <t>DUKA-0025</t>
  </si>
  <si>
    <t>2026-01-24</t>
  </si>
  <si>
    <t>Saturday</t>
  </si>
  <si>
    <t>DUKA-0026</t>
  </si>
  <si>
    <t>2026-06-30</t>
  </si>
  <si>
    <t>DUKA-0027</t>
  </si>
  <si>
    <t>2026-02-23</t>
  </si>
  <si>
    <t>DUKA-0028</t>
  </si>
  <si>
    <t>2026-02-08</t>
  </si>
  <si>
    <t>DUKA-0029</t>
  </si>
  <si>
    <t>2026-05-07</t>
  </si>
  <si>
    <t>DUKA-0030</t>
  </si>
  <si>
    <t>2026-04-09</t>
  </si>
  <si>
    <t>4K Television 43in</t>
  </si>
  <si>
    <t>DUKA-0031</t>
  </si>
  <si>
    <t>DUKA-0032</t>
  </si>
  <si>
    <t>2026-06-28</t>
  </si>
  <si>
    <t>DUKA-0033</t>
  </si>
  <si>
    <t>DUKA-0034</t>
  </si>
  <si>
    <t>DUKA-0035</t>
  </si>
  <si>
    <t>2026-02-28</t>
  </si>
  <si>
    <t>DUKA-0036</t>
  </si>
  <si>
    <t>2026-04-18</t>
  </si>
  <si>
    <t>DUKA-0037</t>
  </si>
  <si>
    <t>2026-06-14</t>
  </si>
  <si>
    <t>DUKA-0038</t>
  </si>
  <si>
    <t>DUKA-0039</t>
  </si>
  <si>
    <t>2026-04-11</t>
  </si>
  <si>
    <t>DUKA-0040</t>
  </si>
  <si>
    <t>2026-01-21</t>
  </si>
  <si>
    <t>DUKA-0041</t>
  </si>
  <si>
    <t>2026-03-21</t>
  </si>
  <si>
    <t>DUKA-0042</t>
  </si>
  <si>
    <t>2026-05-10</t>
  </si>
  <si>
    <t>DUKA-0043</t>
  </si>
  <si>
    <t>2026-05-29</t>
  </si>
  <si>
    <t>DUKA-0044</t>
  </si>
  <si>
    <t>2026-06-15</t>
  </si>
  <si>
    <t>DUKA-0045</t>
  </si>
  <si>
    <t>2026-04-28</t>
  </si>
  <si>
    <t>DUKA-0046</t>
  </si>
  <si>
    <t>2026-06-17</t>
  </si>
  <si>
    <t>DUKA-0047</t>
  </si>
  <si>
    <t>2026-01-12</t>
  </si>
  <si>
    <t>DUKA-0048</t>
  </si>
  <si>
    <t>2026-04-17</t>
  </si>
  <si>
    <t>DUKA-0049</t>
  </si>
  <si>
    <t>2026-02-16</t>
  </si>
  <si>
    <t>DUKA-0050</t>
  </si>
  <si>
    <t>2026-03-05</t>
  </si>
  <si>
    <t>DUKA-0051</t>
  </si>
  <si>
    <t>DUKA-0052</t>
  </si>
  <si>
    <t>2026-05-03</t>
  </si>
  <si>
    <t>DUKA-0053</t>
  </si>
  <si>
    <t>2026-03-22</t>
  </si>
  <si>
    <t>DUKA-0054</t>
  </si>
  <si>
    <t>2026-06-20</t>
  </si>
  <si>
    <t>DUKA-0055</t>
  </si>
  <si>
    <t>2026-03-13</t>
  </si>
  <si>
    <t>DUKA-0056</t>
  </si>
  <si>
    <t>2026-06-27</t>
  </si>
  <si>
    <t>DUKA-0057</t>
  </si>
  <si>
    <t>DUKA-0058</t>
  </si>
  <si>
    <t>2026-02-21</t>
  </si>
  <si>
    <t>DUKA-0059</t>
  </si>
  <si>
    <t>2026-04-27</t>
  </si>
  <si>
    <t>DUKA-0060</t>
  </si>
  <si>
    <t>2026-06-19</t>
  </si>
  <si>
    <t>DUKA-0061</t>
  </si>
  <si>
    <t>2026-01-15</t>
  </si>
  <si>
    <t>DUKA-0062</t>
  </si>
  <si>
    <t>2026-05-13</t>
  </si>
  <si>
    <t>DUKA-0063</t>
  </si>
  <si>
    <t>DUKA-0064</t>
  </si>
  <si>
    <t>DUKA-0065</t>
  </si>
  <si>
    <t>2026-05-22</t>
  </si>
  <si>
    <t>DUKA-0066</t>
  </si>
  <si>
    <t>2026-01-31</t>
  </si>
  <si>
    <t>DUKA-0067</t>
  </si>
  <si>
    <t>2026-05-02</t>
  </si>
  <si>
    <t>DUKA-0068</t>
  </si>
  <si>
    <t>2026-06-26</t>
  </si>
  <si>
    <t>DUKA-0069</t>
  </si>
  <si>
    <t>2026-01-27</t>
  </si>
  <si>
    <t>DUKA-0070</t>
  </si>
  <si>
    <t>2026-05-17</t>
  </si>
  <si>
    <t>DUKA-0071</t>
  </si>
  <si>
    <t>2026-01-20</t>
  </si>
  <si>
    <t>DUKA-0072</t>
  </si>
  <si>
    <t>DUKA-0073</t>
  </si>
  <si>
    <t>2026-02-17</t>
  </si>
  <si>
    <t>DUKA-0074</t>
  </si>
  <si>
    <t>2026-04-08</t>
  </si>
  <si>
    <t>DUKA-0075</t>
  </si>
  <si>
    <t>DUKA-0076</t>
  </si>
  <si>
    <t>DUKA-0077</t>
  </si>
  <si>
    <t>2026-01-08</t>
  </si>
  <si>
    <t>DUKA-0078</t>
  </si>
  <si>
    <t>2026-05-12</t>
  </si>
  <si>
    <t>DUKA-0079</t>
  </si>
  <si>
    <t>DUKA-0080</t>
  </si>
  <si>
    <t>DUKA-0081</t>
  </si>
  <si>
    <t>2026-03-18</t>
  </si>
  <si>
    <t>DUKA-0082</t>
  </si>
  <si>
    <t>2026-04-15</t>
  </si>
  <si>
    <t>DUKA-0083</t>
  </si>
  <si>
    <t>DUKA-0084</t>
  </si>
  <si>
    <t>2026-06-03</t>
  </si>
  <si>
    <t>DUKA-0085</t>
  </si>
  <si>
    <t>DUKA-0086</t>
  </si>
  <si>
    <t>2026-05-20</t>
  </si>
  <si>
    <t>DUKA-0087</t>
  </si>
  <si>
    <t>DUKA-0088</t>
  </si>
  <si>
    <t>2026-01-17</t>
  </si>
  <si>
    <t>DUKA-0089</t>
  </si>
  <si>
    <t>2026-06-13</t>
  </si>
  <si>
    <t>DUKA-0090</t>
  </si>
  <si>
    <t>2026-05-18</t>
  </si>
  <si>
    <t>DUKA-0091</t>
  </si>
  <si>
    <t>2026-01-28</t>
  </si>
  <si>
    <t>DUKA-0092</t>
  </si>
  <si>
    <t>DUKA-0093</t>
  </si>
  <si>
    <t>2026-01-29</t>
  </si>
  <si>
    <t>DUKA-0094</t>
  </si>
  <si>
    <t>2026-02-04</t>
  </si>
  <si>
    <t>DUKA-0095</t>
  </si>
  <si>
    <t>DUKA-0096</t>
  </si>
  <si>
    <t>2026-03-04</t>
  </si>
  <si>
    <t>DUKA-0097</t>
  </si>
  <si>
    <t>DUKA-0098</t>
  </si>
  <si>
    <t>2026-04-03</t>
  </si>
  <si>
    <t>DUKA-0099</t>
  </si>
  <si>
    <t>2026-03-17</t>
  </si>
  <si>
    <t>DUKA-0100</t>
  </si>
  <si>
    <t>2026-06-05</t>
  </si>
  <si>
    <t>DUKA-0101</t>
  </si>
  <si>
    <t>2026-01-07</t>
  </si>
  <si>
    <t>DUKA-0102</t>
  </si>
  <si>
    <t>2026-06-09</t>
  </si>
  <si>
    <t>DUKA-0103</t>
  </si>
  <si>
    <t>DUKA-0104</t>
  </si>
  <si>
    <t>DUKA-0105</t>
  </si>
  <si>
    <t>2026-01-06</t>
  </si>
  <si>
    <t>DUKA-0106</t>
  </si>
  <si>
    <t>DUKA-0107</t>
  </si>
  <si>
    <t>DUKA-0108</t>
  </si>
  <si>
    <t>2026-06-02</t>
  </si>
  <si>
    <t>DUKA-0109</t>
  </si>
  <si>
    <t>2026-01-13</t>
  </si>
  <si>
    <t>DUKA-0110</t>
  </si>
  <si>
    <t>2026-04-20</t>
  </si>
  <si>
    <t>DUKA-0111</t>
  </si>
  <si>
    <t>DUKA-0112</t>
  </si>
  <si>
    <t>2026-06-04</t>
  </si>
  <si>
    <t>DUKA-0113</t>
  </si>
  <si>
    <t>2026-02-20</t>
  </si>
  <si>
    <t>DUKA-0114</t>
  </si>
  <si>
    <t>2026-04-19</t>
  </si>
  <si>
    <t>DUKA-0115</t>
  </si>
  <si>
    <t>DUKA-0116</t>
  </si>
  <si>
    <t>2026-02-10</t>
  </si>
  <si>
    <t>DUKA-0117</t>
  </si>
  <si>
    <t>DUKA-0118</t>
  </si>
  <si>
    <t>2026-04-02</t>
  </si>
  <si>
    <t>DUKA-0119</t>
  </si>
  <si>
    <t>2026-03-28</t>
  </si>
  <si>
    <t>DUKA-0120</t>
  </si>
  <si>
    <t>2026-04-04</t>
  </si>
  <si>
    <t>DUKA-0121</t>
  </si>
  <si>
    <t>DUKA-0122</t>
  </si>
  <si>
    <t>DUKA-0123</t>
  </si>
  <si>
    <t>DUKA-0124</t>
  </si>
  <si>
    <t>DUKA-0125</t>
  </si>
  <si>
    <t>DUKA-0126</t>
  </si>
  <si>
    <t>2026-02-12</t>
  </si>
  <si>
    <t>DUKA-0127</t>
  </si>
  <si>
    <t>2026-03-30</t>
  </si>
  <si>
    <t>DUKA-0128</t>
  </si>
  <si>
    <t>2026-05-16</t>
  </si>
  <si>
    <t>DUKA-0129</t>
  </si>
  <si>
    <t>2026-05-31</t>
  </si>
  <si>
    <t>DUKA-0130</t>
  </si>
  <si>
    <t>DUKA-0131</t>
  </si>
  <si>
    <t>DUKA-0132</t>
  </si>
  <si>
    <t>2026-03-29</t>
  </si>
  <si>
    <t>DUKA-0133</t>
  </si>
  <si>
    <t>DUKA-0134</t>
  </si>
  <si>
    <t>DUKA-0135</t>
  </si>
  <si>
    <t>DUKA-0136</t>
  </si>
  <si>
    <t>DUKA-0137</t>
  </si>
  <si>
    <t>2026-01-10</t>
  </si>
  <si>
    <t>DUKA-0138</t>
  </si>
  <si>
    <t>DUKA-0139</t>
  </si>
  <si>
    <t>2026-02-13</t>
  </si>
  <si>
    <t>DUKA-0140</t>
  </si>
  <si>
    <t>DUKA-0141</t>
  </si>
  <si>
    <t>DUKA-0142</t>
  </si>
  <si>
    <t>DUKA-0143</t>
  </si>
  <si>
    <t>2026-03-12</t>
  </si>
  <si>
    <t>DUKA-0144</t>
  </si>
  <si>
    <t>2026-06-22</t>
  </si>
  <si>
    <t>DUKA-0145</t>
  </si>
  <si>
    <t>DUKA-0146</t>
  </si>
  <si>
    <t>2026-04-25</t>
  </si>
  <si>
    <t>DUKA-0147</t>
  </si>
  <si>
    <t>2026-04-05</t>
  </si>
  <si>
    <t>DUKA-0148</t>
  </si>
  <si>
    <t>DUKA-0149</t>
  </si>
  <si>
    <t>2026-04-21</t>
  </si>
  <si>
    <t>DUKA-0150</t>
  </si>
  <si>
    <t>DUKA-0151</t>
  </si>
  <si>
    <t>2026-04-07</t>
  </si>
  <si>
    <t>DUKA-0152</t>
  </si>
  <si>
    <t>2026-02-11</t>
  </si>
  <si>
    <t>DUKA-0153</t>
  </si>
  <si>
    <t>2026-02-19</t>
  </si>
  <si>
    <t>DUKA-0154</t>
  </si>
  <si>
    <t>DUKA-0155</t>
  </si>
  <si>
    <t>DUKA-0156</t>
  </si>
  <si>
    <t>DUKA-0157</t>
  </si>
  <si>
    <t>DUKA-0158</t>
  </si>
  <si>
    <t>DUKA-0159</t>
  </si>
  <si>
    <t>2026-04-10</t>
  </si>
  <si>
    <t>DUKA-0160</t>
  </si>
  <si>
    <t>2026-05-09</t>
  </si>
  <si>
    <t>DUKA-0161</t>
  </si>
  <si>
    <t>DUKA-0162</t>
  </si>
  <si>
    <t>DUKA-0163</t>
  </si>
  <si>
    <t>DUKA-0164</t>
  </si>
  <si>
    <t>DUKA-0165</t>
  </si>
  <si>
    <t>DUKA-0166</t>
  </si>
  <si>
    <t>2026-01-30</t>
  </si>
  <si>
    <t>DUKA-0167</t>
  </si>
  <si>
    <t>2026-01-22</t>
  </si>
  <si>
    <t>DUKA-0168</t>
  </si>
  <si>
    <t>2026-04-22</t>
  </si>
  <si>
    <t>DUKA-0169</t>
  </si>
  <si>
    <t>DUKA-0170</t>
  </si>
  <si>
    <t>2026-03-15</t>
  </si>
  <si>
    <t>DUKA-0171</t>
  </si>
  <si>
    <t>DUKA-0172</t>
  </si>
  <si>
    <t>DUKA-0173</t>
  </si>
  <si>
    <t>2026-06-08</t>
  </si>
  <si>
    <t>DUKA-0174</t>
  </si>
  <si>
    <t>DUKA-0175</t>
  </si>
  <si>
    <t>2026-04-14</t>
  </si>
  <si>
    <t>DUKA-0176</t>
  </si>
  <si>
    <t>2026-06-06</t>
  </si>
  <si>
    <t>DUKA-0177</t>
  </si>
  <si>
    <t>DUKA-0178</t>
  </si>
  <si>
    <t>DUKA-0179</t>
  </si>
  <si>
    <t>2026-03-25</t>
  </si>
  <si>
    <t>DUKA-0180</t>
  </si>
  <si>
    <t>2026-03-09</t>
  </si>
  <si>
    <t>DUKA-0181</t>
  </si>
  <si>
    <t>2026-01-16</t>
  </si>
  <si>
    <t>DUKA-0182</t>
  </si>
  <si>
    <t>2026-03-23</t>
  </si>
  <si>
    <t>DUKA-0183</t>
  </si>
  <si>
    <t>DUKA-0184</t>
  </si>
  <si>
    <t>DUKA-0185</t>
  </si>
  <si>
    <t>DUKA-0186</t>
  </si>
  <si>
    <t>DUKA-0187</t>
  </si>
  <si>
    <t>DUKA-0188</t>
  </si>
  <si>
    <t>2026-02-07</t>
  </si>
  <si>
    <t>DUKA-0189</t>
  </si>
  <si>
    <t>DUKA-0190</t>
  </si>
  <si>
    <t>DUKA-0191</t>
  </si>
  <si>
    <t>2026-05-28</t>
  </si>
  <si>
    <t>DUKA-0192</t>
  </si>
  <si>
    <t>DUKA-0193</t>
  </si>
  <si>
    <t>DUKA-0194</t>
  </si>
  <si>
    <t>2026-05-21</t>
  </si>
  <si>
    <t>DUKA-0195</t>
  </si>
  <si>
    <t>2026-04-29</t>
  </si>
  <si>
    <t>DUKA-0196</t>
  </si>
  <si>
    <t>DUKA-0197</t>
  </si>
  <si>
    <t>DUKA-0198</t>
  </si>
  <si>
    <t>DUKA-0199</t>
  </si>
  <si>
    <t>DUKA-0200</t>
  </si>
  <si>
    <t>DUKA-0201</t>
  </si>
  <si>
    <t>2026-05-23</t>
  </si>
  <si>
    <t>DUKA-0202</t>
  </si>
  <si>
    <t>DUKA-0203</t>
  </si>
  <si>
    <t>DUKA-0204</t>
  </si>
  <si>
    <t>DUKA-0205</t>
  </si>
  <si>
    <t>DUKA-0206</t>
  </si>
  <si>
    <t>DUKA-0207</t>
  </si>
  <si>
    <t>DUKA-0208</t>
  </si>
  <si>
    <t>DUKA-0209</t>
  </si>
  <si>
    <t>DUKA-0210</t>
  </si>
  <si>
    <t>2026-05-27</t>
  </si>
  <si>
    <t>DUKA-0211</t>
  </si>
  <si>
    <t>DUKA-0212</t>
  </si>
  <si>
    <t>DUKA-0213</t>
  </si>
  <si>
    <t>DUKA-0214</t>
  </si>
  <si>
    <t>DUKA-0215</t>
  </si>
  <si>
    <t>2026-01-04</t>
  </si>
  <si>
    <t>DUKA-0216</t>
  </si>
  <si>
    <t>DUKA-0217</t>
  </si>
  <si>
    <t>2026-03-10</t>
  </si>
  <si>
    <t>DUKA-0218</t>
  </si>
  <si>
    <t>DUKA-0219</t>
  </si>
  <si>
    <t>DUKA-0220</t>
  </si>
  <si>
    <t>DUKA-0221</t>
  </si>
  <si>
    <t>2026-02-01</t>
  </si>
  <si>
    <t>DUKA-0222</t>
  </si>
  <si>
    <t>DUKA-0223</t>
  </si>
  <si>
    <t>DUKA-0224</t>
  </si>
  <si>
    <t>DUKA-0225</t>
  </si>
  <si>
    <t>DUKA-0226</t>
  </si>
  <si>
    <t>2026-05-26</t>
  </si>
  <si>
    <t>DUKA-0227</t>
  </si>
  <si>
    <t>DUKA-0228</t>
  </si>
  <si>
    <t>2026-05-04</t>
  </si>
  <si>
    <t>DUKA-0229</t>
  </si>
  <si>
    <t>DUKA-0230</t>
  </si>
  <si>
    <t>DUKA-0231</t>
  </si>
  <si>
    <t>DUKA-0232</t>
  </si>
  <si>
    <t>DUKA-0233</t>
  </si>
  <si>
    <t>2026-01-26</t>
  </si>
  <si>
    <t>DUKA-0234</t>
  </si>
  <si>
    <t>DUKA-0235</t>
  </si>
  <si>
    <t>DUKA-0236</t>
  </si>
  <si>
    <t>DUKA-0237</t>
  </si>
  <si>
    <t>DUKA-0238</t>
  </si>
  <si>
    <t>DUKA-0239</t>
  </si>
  <si>
    <t>DUKA-0240</t>
  </si>
  <si>
    <t>DUKA-0241</t>
  </si>
  <si>
    <t>DUKA-0242</t>
  </si>
  <si>
    <t>DUKA-0243</t>
  </si>
  <si>
    <t>DUKA-0244</t>
  </si>
  <si>
    <t>DUKA-0245</t>
  </si>
  <si>
    <t>DUKA-0246</t>
  </si>
  <si>
    <t>2026-05-30</t>
  </si>
  <si>
    <t>DUKA-0247</t>
  </si>
  <si>
    <t>DUKA-0248</t>
  </si>
  <si>
    <t>DUKA-0249</t>
  </si>
  <si>
    <t>DUKA-0250</t>
  </si>
  <si>
    <t>DUKA-0251</t>
  </si>
  <si>
    <t>DUKA-0252</t>
  </si>
  <si>
    <t>DUKA-0253</t>
  </si>
  <si>
    <t>2026-02-02</t>
  </si>
  <si>
    <t>DUKA-0254</t>
  </si>
  <si>
    <t>DUKA-0255</t>
  </si>
  <si>
    <t>DUKA-0256</t>
  </si>
  <si>
    <t>DUKA-0257</t>
  </si>
  <si>
    <t>2026-01-14</t>
  </si>
  <si>
    <t>DUKA-0258</t>
  </si>
  <si>
    <t>2026-06-24</t>
  </si>
  <si>
    <t>DUKA-0259</t>
  </si>
  <si>
    <t>DUKA-0260</t>
  </si>
  <si>
    <t>DUKA-0261</t>
  </si>
  <si>
    <t>DUKA-0262</t>
  </si>
  <si>
    <t>DUKA-0263</t>
  </si>
  <si>
    <t>DUKA-0264</t>
  </si>
  <si>
    <t>DUKA-0265</t>
  </si>
  <si>
    <t>2026-06-12</t>
  </si>
  <si>
    <t>DUKA-0266</t>
  </si>
  <si>
    <t>DUKA-0267</t>
  </si>
  <si>
    <t>DUKA-0268</t>
  </si>
  <si>
    <t>DUKA-0269</t>
  </si>
  <si>
    <t>DUKA-0270</t>
  </si>
  <si>
    <t>2026-06-25</t>
  </si>
  <si>
    <t>DUKA-0271</t>
  </si>
  <si>
    <t>DUKA-0272</t>
  </si>
  <si>
    <t>2026-06-16</t>
  </si>
  <si>
    <t>DUKA-0273</t>
  </si>
  <si>
    <t>DUKA-0274</t>
  </si>
  <si>
    <t>DUKA-0275</t>
  </si>
  <si>
    <t>2026-01-03</t>
  </si>
  <si>
    <t>DUKA-0276</t>
  </si>
  <si>
    <t>2026-05-08</t>
  </si>
  <si>
    <t>DUKA-0277</t>
  </si>
  <si>
    <t>DUKA-0278</t>
  </si>
  <si>
    <t>DUKA-0279</t>
  </si>
  <si>
    <t>DUKA-0280</t>
  </si>
  <si>
    <t>2026-03-03</t>
  </si>
  <si>
    <t>DUKA-0281</t>
  </si>
  <si>
    <t>DUKA-0282</t>
  </si>
  <si>
    <t>DUKA-0283</t>
  </si>
  <si>
    <t>DUKA-0284</t>
  </si>
  <si>
    <t>2026-03-14</t>
  </si>
  <si>
    <t>DUKA-0285</t>
  </si>
  <si>
    <t>DUKA-0286</t>
  </si>
  <si>
    <t>DUKA-0287</t>
  </si>
  <si>
    <t>DUKA-0288</t>
  </si>
  <si>
    <t>DUKA-0289</t>
  </si>
  <si>
    <t>DUKA-0290</t>
  </si>
  <si>
    <t>DUKA-0291</t>
  </si>
  <si>
    <t>DUKA-0292</t>
  </si>
  <si>
    <t>DUKA-0293</t>
  </si>
  <si>
    <t>DUKA-0294</t>
  </si>
  <si>
    <t>DUKA-0295</t>
  </si>
  <si>
    <t>DUKA-0296</t>
  </si>
  <si>
    <t>DUKA-0297</t>
  </si>
  <si>
    <t>DUKA-0298</t>
  </si>
  <si>
    <t>DUKA-0299</t>
  </si>
  <si>
    <t>2026-04-01</t>
  </si>
  <si>
    <t>DUKA-0300</t>
  </si>
  <si>
    <t>DUKA-0301</t>
  </si>
  <si>
    <t>DUKA-0302</t>
  </si>
  <si>
    <t>DUKA-0303</t>
  </si>
  <si>
    <t>2026-03-27</t>
  </si>
  <si>
    <t>DUKA-0304</t>
  </si>
  <si>
    <t>DUKA-0305</t>
  </si>
  <si>
    <t>DUKA-0306</t>
  </si>
  <si>
    <t>DUKA-0307</t>
  </si>
  <si>
    <t>DUKA-0308</t>
  </si>
  <si>
    <t>DUKA-0309</t>
  </si>
  <si>
    <t>DUKA-0310</t>
  </si>
  <si>
    <t>DUKA-0311</t>
  </si>
  <si>
    <t>DUKA-0312</t>
  </si>
  <si>
    <t>DUKA-0313</t>
  </si>
  <si>
    <t>2026-06-18</t>
  </si>
  <si>
    <t>DUKA-0314</t>
  </si>
  <si>
    <t>DUKA-0315</t>
  </si>
  <si>
    <t>DUKA-0316</t>
  </si>
  <si>
    <t>DUKA-0317</t>
  </si>
  <si>
    <t>DUKA-0318</t>
  </si>
  <si>
    <t>2026-06-23</t>
  </si>
  <si>
    <t>DUKA-0319</t>
  </si>
  <si>
    <t>DUKA-0320</t>
  </si>
  <si>
    <t>DUKA-0321</t>
  </si>
  <si>
    <t>2026-05-05</t>
  </si>
  <si>
    <t>DUKA-0322</t>
  </si>
  <si>
    <t>2026-04-06</t>
  </si>
  <si>
    <t>DUKA-0323</t>
  </si>
  <si>
    <t>DUKA-0324</t>
  </si>
  <si>
    <t>DUKA-0325</t>
  </si>
  <si>
    <t>DUKA-0326</t>
  </si>
  <si>
    <t>DUKA-0327</t>
  </si>
  <si>
    <t>DUKA-0328</t>
  </si>
  <si>
    <t>2026-02-24</t>
  </si>
  <si>
    <t>DUKA-0329</t>
  </si>
  <si>
    <t>DUKA-0330</t>
  </si>
  <si>
    <t>2026-06-29</t>
  </si>
  <si>
    <t>DUKA-0331</t>
  </si>
  <si>
    <t>DUKA-0332</t>
  </si>
  <si>
    <t>2026-01-05</t>
  </si>
  <si>
    <t>DUKA-0333</t>
  </si>
  <si>
    <t>2026-04-23</t>
  </si>
  <si>
    <t>DUKA-0334</t>
  </si>
  <si>
    <t>2026-02-15</t>
  </si>
  <si>
    <t>DUKA-0335</t>
  </si>
  <si>
    <t>DUKA-0336</t>
  </si>
  <si>
    <t>DUKA-0337</t>
  </si>
  <si>
    <t>DUKA-0338</t>
  </si>
  <si>
    <t>DUKA-0339</t>
  </si>
  <si>
    <t>DUKA-0340</t>
  </si>
  <si>
    <t>DUKA-0341</t>
  </si>
  <si>
    <t>DUKA-0342</t>
  </si>
  <si>
    <t>DUKA-0343</t>
  </si>
  <si>
    <t>DUKA-0344</t>
  </si>
  <si>
    <t>DUKA-0345</t>
  </si>
  <si>
    <t>DUKA-0346</t>
  </si>
  <si>
    <t>DUKA-0347</t>
  </si>
  <si>
    <t>DUKA-0348</t>
  </si>
  <si>
    <t>DUKA-0349</t>
  </si>
  <si>
    <t>DUKA-0350</t>
  </si>
  <si>
    <t>DUKA-0351</t>
  </si>
  <si>
    <t>DUKA-0352</t>
  </si>
  <si>
    <t>2026-01-02</t>
  </si>
  <si>
    <t>DUKA-0353</t>
  </si>
  <si>
    <t>DUKA-0354</t>
  </si>
  <si>
    <t>2026-03-08</t>
  </si>
  <si>
    <t>DUKA-0355</t>
  </si>
  <si>
    <t>2026-04-30</t>
  </si>
  <si>
    <t>DUKA-0356</t>
  </si>
  <si>
    <t>DUKA-0357</t>
  </si>
  <si>
    <t>DUKA-0358</t>
  </si>
  <si>
    <t>DUKA-0359</t>
  </si>
  <si>
    <t>DUKA-0360</t>
  </si>
  <si>
    <t>DUKA-0361</t>
  </si>
  <si>
    <t>DUKA-0362</t>
  </si>
  <si>
    <t>DUKA-0363</t>
  </si>
  <si>
    <t>DUKA-0364</t>
  </si>
  <si>
    <t>DUKA-0365</t>
  </si>
  <si>
    <t>DUKA-0366</t>
  </si>
  <si>
    <t>DUKA-0367</t>
  </si>
  <si>
    <t>DUKA-0368</t>
  </si>
  <si>
    <t>DUKA-0369</t>
  </si>
  <si>
    <t>DUKA-0370</t>
  </si>
  <si>
    <t>DUKA-0371</t>
  </si>
  <si>
    <t>DUKA-0372</t>
  </si>
  <si>
    <t>DUKA-0373</t>
  </si>
  <si>
    <t>DUKA-0374</t>
  </si>
  <si>
    <t>DUKA-0375</t>
  </si>
  <si>
    <t>DUKA-0376</t>
  </si>
  <si>
    <t>DUKA-0377</t>
  </si>
  <si>
    <t>DUKA-0378</t>
  </si>
  <si>
    <t>DUKA-0379</t>
  </si>
  <si>
    <t>DUKA-0380</t>
  </si>
  <si>
    <t>DUKA-0381</t>
  </si>
  <si>
    <t>DUKA-0382</t>
  </si>
  <si>
    <t>DUKA-0383</t>
  </si>
  <si>
    <t>2026-03-26</t>
  </si>
  <si>
    <t>DUKA-0384</t>
  </si>
  <si>
    <t>DUKA-0385</t>
  </si>
  <si>
    <t>DUKA-0386</t>
  </si>
  <si>
    <t>DUKA-0387</t>
  </si>
  <si>
    <t>DUKA-0388</t>
  </si>
  <si>
    <t>DUKA-0389</t>
  </si>
  <si>
    <t>DUKA-0390</t>
  </si>
  <si>
    <t>DUKA-0391</t>
  </si>
  <si>
    <t>DUKA-0392</t>
  </si>
  <si>
    <t>DUKA-0393</t>
  </si>
  <si>
    <t>DUKA-0394</t>
  </si>
  <si>
    <t>DUKA-0395</t>
  </si>
  <si>
    <t>DUKA-0396</t>
  </si>
  <si>
    <t>DUKA-0397</t>
  </si>
  <si>
    <t>DUKA-0398</t>
  </si>
  <si>
    <t>DUKA-0399</t>
  </si>
  <si>
    <t>DUKA-0400</t>
  </si>
  <si>
    <t>DUKA-0401</t>
  </si>
  <si>
    <t>DUKA-0402</t>
  </si>
  <si>
    <t>DUKA-0403</t>
  </si>
  <si>
    <t>2026-06-10</t>
  </si>
  <si>
    <t>DUKA-0404</t>
  </si>
  <si>
    <t>DUKA-0405</t>
  </si>
  <si>
    <t>DUKA-0406</t>
  </si>
  <si>
    <t>DUKA-0407</t>
  </si>
  <si>
    <t>DUKA-0408</t>
  </si>
  <si>
    <t>DUKA-0409</t>
  </si>
  <si>
    <t>DUKA-0410</t>
  </si>
  <si>
    <t>DUKA-0411</t>
  </si>
  <si>
    <t>DUKA-0412</t>
  </si>
  <si>
    <t>DUKA-0413</t>
  </si>
  <si>
    <t>DUKA-0414</t>
  </si>
  <si>
    <t>DUKA-0415</t>
  </si>
  <si>
    <t>DUKA-0416</t>
  </si>
  <si>
    <t>DUKA-0417</t>
  </si>
  <si>
    <t>DUKA-0418</t>
  </si>
  <si>
    <t>DUKA-0419</t>
  </si>
  <si>
    <t>DUKA-0420</t>
  </si>
  <si>
    <t>DUKA-0421</t>
  </si>
  <si>
    <t>DUKA-0422</t>
  </si>
  <si>
    <t>DUKA-0423</t>
  </si>
  <si>
    <t>DUKA-0424</t>
  </si>
  <si>
    <t>DUKA-0425</t>
  </si>
  <si>
    <t>DUKA-0426</t>
  </si>
  <si>
    <t>DUKA-0427</t>
  </si>
  <si>
    <t>DUKA-0428</t>
  </si>
  <si>
    <t>DUKA-0429</t>
  </si>
  <si>
    <t>DUKA-0430</t>
  </si>
  <si>
    <t>DUKA-0431</t>
  </si>
  <si>
    <t>DUKA-0432</t>
  </si>
  <si>
    <t>DUKA-0433</t>
  </si>
  <si>
    <t>DUKA-0434</t>
  </si>
  <si>
    <t>DUKA-0435</t>
  </si>
  <si>
    <t>DUKA-0436</t>
  </si>
  <si>
    <t>2026-05-01</t>
  </si>
  <si>
    <t>DUKA-0437</t>
  </si>
  <si>
    <t>DUKA-0438</t>
  </si>
  <si>
    <t>DUKA-0439</t>
  </si>
  <si>
    <t>2026-03-20</t>
  </si>
  <si>
    <t>DUKA-0440</t>
  </si>
  <si>
    <t>DUKA-0441</t>
  </si>
  <si>
    <t>DUKA-0442</t>
  </si>
  <si>
    <t>DUKA-0443</t>
  </si>
  <si>
    <t>DUKA-0444</t>
  </si>
  <si>
    <t>DUKA-0445</t>
  </si>
  <si>
    <t>DUKA-0446</t>
  </si>
  <si>
    <t>DUKA-0447</t>
  </si>
  <si>
    <t>DUKA-0448</t>
  </si>
  <si>
    <t>DUKA-0449</t>
  </si>
  <si>
    <t>DUKA-0450</t>
  </si>
  <si>
    <t>DUKA-0451</t>
  </si>
  <si>
    <t>DUKA-0452</t>
  </si>
  <si>
    <t>DUKA-0453</t>
  </si>
  <si>
    <t>DUKA-0454</t>
  </si>
  <si>
    <t>DUKA-0455</t>
  </si>
  <si>
    <t>DUKA-0456</t>
  </si>
  <si>
    <t>2026-05-11</t>
  </si>
  <si>
    <t>DUKA-0457</t>
  </si>
  <si>
    <t>DUKA-0458</t>
  </si>
  <si>
    <t>DUKA-0459</t>
  </si>
  <si>
    <t>DUKA-0460</t>
  </si>
  <si>
    <t>DUKA-0461</t>
  </si>
  <si>
    <t>2026-05-14</t>
  </si>
  <si>
    <t>DUKA-0462</t>
  </si>
  <si>
    <t>DUKA-0463</t>
  </si>
  <si>
    <t>DUKA-0464</t>
  </si>
  <si>
    <t>2026-04-26</t>
  </si>
  <si>
    <t>DUKA-0465</t>
  </si>
  <si>
    <t>2026-03-07</t>
  </si>
  <si>
    <t>DUKA-0466</t>
  </si>
  <si>
    <t>2026-04-24</t>
  </si>
  <si>
    <t>DUKA-0467</t>
  </si>
  <si>
    <t>DUKA-0468</t>
  </si>
  <si>
    <t>2026-01-01</t>
  </si>
  <si>
    <t>DUKA-0469</t>
  </si>
  <si>
    <t>DUKA-0470</t>
  </si>
  <si>
    <t>DUKA-0471</t>
  </si>
  <si>
    <t>2026-05-06</t>
  </si>
  <si>
    <t>DUKA-0472</t>
  </si>
  <si>
    <t>DUKA-0473</t>
  </si>
  <si>
    <t>DUKA-0474</t>
  </si>
  <si>
    <t>DUKA-0475</t>
  </si>
  <si>
    <t>DUKA-0476</t>
  </si>
  <si>
    <t>DUKA-0477</t>
  </si>
  <si>
    <t>DUKA-0478</t>
  </si>
  <si>
    <t>DUKA-0479</t>
  </si>
  <si>
    <t>DUKA-0480</t>
  </si>
  <si>
    <t>DUKA-0481</t>
  </si>
  <si>
    <t>DUKA-0482</t>
  </si>
  <si>
    <t>DUKA-0483</t>
  </si>
  <si>
    <t>2026-02-26</t>
  </si>
  <si>
    <t>DUKA-0484</t>
  </si>
  <si>
    <t>DUKA-0485</t>
  </si>
  <si>
    <t>DUKA-0486</t>
  </si>
  <si>
    <t>DUKA-0487</t>
  </si>
  <si>
    <t>DUKA-0488</t>
  </si>
  <si>
    <t>DUKA-0489</t>
  </si>
  <si>
    <t>DUKA-0490</t>
  </si>
  <si>
    <t>DUKA-0491</t>
  </si>
  <si>
    <t>DUKA-0492</t>
  </si>
  <si>
    <t>DUKA-0493</t>
  </si>
  <si>
    <t>2026-02-14</t>
  </si>
  <si>
    <t>DUKA-0494</t>
  </si>
  <si>
    <t>DUKA-0495</t>
  </si>
  <si>
    <t>DUKA-0496</t>
  </si>
  <si>
    <t>DUKA-0497</t>
  </si>
  <si>
    <t>DUKA-0498</t>
  </si>
  <si>
    <t>DUKA-0499</t>
  </si>
  <si>
    <t>DUKA-0500</t>
  </si>
  <si>
    <t>DUKA-0501</t>
  </si>
  <si>
    <t>DUKA-0502</t>
  </si>
  <si>
    <t>DUKA-0503</t>
  </si>
  <si>
    <t>DUKA-0504</t>
  </si>
  <si>
    <t>DUKA-0505</t>
  </si>
  <si>
    <t>DUKA-0506</t>
  </si>
  <si>
    <t>DUKA-0507</t>
  </si>
  <si>
    <t>DUKA-0508</t>
  </si>
  <si>
    <t>DUKA-0509</t>
  </si>
  <si>
    <t>DUKA-0510</t>
  </si>
  <si>
    <t>DUKA-0511</t>
  </si>
  <si>
    <t>DUKA-0512</t>
  </si>
  <si>
    <t>DUKA-0513</t>
  </si>
  <si>
    <t>DUKA-0514</t>
  </si>
  <si>
    <t>DUKA-0515</t>
  </si>
  <si>
    <t>DUKA-0516</t>
  </si>
  <si>
    <t>DUKA-0517</t>
  </si>
  <si>
    <t>DUKA-0518</t>
  </si>
  <si>
    <t>DUKA-0519</t>
  </si>
  <si>
    <t>DUKA-0520</t>
  </si>
  <si>
    <t>DUKA-0521</t>
  </si>
  <si>
    <t>2026-01-23</t>
  </si>
  <si>
    <t>DUKA-0522</t>
  </si>
  <si>
    <t>DUKA-0523</t>
  </si>
  <si>
    <t>DUKA-0524</t>
  </si>
  <si>
    <t>DUKA-0525</t>
  </si>
  <si>
    <t>DUKA-0526</t>
  </si>
  <si>
    <t>DUKA-0527</t>
  </si>
  <si>
    <t>DUKA-0528</t>
  </si>
  <si>
    <t>DUKA-0529</t>
  </si>
  <si>
    <t>DUKA-0530</t>
  </si>
  <si>
    <t>DUKA-0531</t>
  </si>
  <si>
    <t>DUKA-0532</t>
  </si>
  <si>
    <t>DUKA-0533</t>
  </si>
  <si>
    <t>DUKA-0534</t>
  </si>
  <si>
    <t>DUKA-0535</t>
  </si>
  <si>
    <t>DUKA-0536</t>
  </si>
  <si>
    <t>DUKA-0537</t>
  </si>
  <si>
    <t>DUKA-0538</t>
  </si>
  <si>
    <t>DUKA-0539</t>
  </si>
  <si>
    <t>DUKA-0540</t>
  </si>
  <si>
    <t>DUKA-0541</t>
  </si>
  <si>
    <t>DUKA-0542</t>
  </si>
  <si>
    <t>DUKA-0543</t>
  </si>
  <si>
    <t>2026-02-06</t>
  </si>
  <si>
    <t>DUKA-0544</t>
  </si>
  <si>
    <t>DUKA-0545</t>
  </si>
  <si>
    <t>DUKA-0546</t>
  </si>
  <si>
    <t>DUKA-0547</t>
  </si>
  <si>
    <t>DUKA-0548</t>
  </si>
  <si>
    <t>DUKA-0549</t>
  </si>
  <si>
    <t>DUKA-0550</t>
  </si>
  <si>
    <t>DUKA-0551</t>
  </si>
  <si>
    <t>DUKA-0552</t>
  </si>
  <si>
    <t>2026-04-12</t>
  </si>
  <si>
    <t>DUKA-0553</t>
  </si>
  <si>
    <t>DUKA-0554</t>
  </si>
  <si>
    <t>DUKA-0555</t>
  </si>
  <si>
    <t>DUKA-0556</t>
  </si>
  <si>
    <t>DUKA-0557</t>
  </si>
  <si>
    <t>DUKA-0558</t>
  </si>
  <si>
    <t>DUKA-0559</t>
  </si>
  <si>
    <t>DUKA-0560</t>
  </si>
  <si>
    <t>DUKA-0561</t>
  </si>
  <si>
    <t>DUKA-0562</t>
  </si>
  <si>
    <t>DUKA-0563</t>
  </si>
  <si>
    <t>DUKA-0564</t>
  </si>
  <si>
    <t>DUKA-0565</t>
  </si>
  <si>
    <t>DUKA-0566</t>
  </si>
  <si>
    <t>DUKA-0567</t>
  </si>
  <si>
    <t>DUKA-0568</t>
  </si>
  <si>
    <t>DUKA-0569</t>
  </si>
  <si>
    <t>DUKA-0570</t>
  </si>
  <si>
    <t>DUKA-0571</t>
  </si>
  <si>
    <t>DUKA-0572</t>
  </si>
  <si>
    <t>2026-05-24</t>
  </si>
  <si>
    <t>DUKA-0573</t>
  </si>
  <si>
    <t>DUKA-0574</t>
  </si>
  <si>
    <t>DUKA-0575</t>
  </si>
  <si>
    <t>DUKA-0576</t>
  </si>
  <si>
    <t>DUKA-0577</t>
  </si>
  <si>
    <t>DUKA-0578</t>
  </si>
  <si>
    <t>DUKA-0579</t>
  </si>
  <si>
    <t>DUKA-0580</t>
  </si>
  <si>
    <t>DUKA-0581</t>
  </si>
  <si>
    <t>DUKA-0582</t>
  </si>
  <si>
    <t>DUKA-0583</t>
  </si>
  <si>
    <t>DUKA-0584</t>
  </si>
  <si>
    <t>DUKA-0585</t>
  </si>
  <si>
    <t>DUKA-0586</t>
  </si>
  <si>
    <t>DUKA-0587</t>
  </si>
  <si>
    <t>DUKA-0588</t>
  </si>
  <si>
    <t>DUKA-0589</t>
  </si>
  <si>
    <t>DUKA-0590</t>
  </si>
  <si>
    <t>DUKA-0591</t>
  </si>
  <si>
    <t>DUKA-0592</t>
  </si>
  <si>
    <t>DUKA-0593</t>
  </si>
  <si>
    <t>DUKA-0594</t>
  </si>
  <si>
    <t>DUKA-0595</t>
  </si>
  <si>
    <t>DUKA-0596</t>
  </si>
  <si>
    <t>DUKA-0597</t>
  </si>
  <si>
    <t>DUKA-0598</t>
  </si>
  <si>
    <t>DUKA-0599</t>
  </si>
  <si>
    <t>DUKA-0600</t>
  </si>
  <si>
    <t>DUKA-0601</t>
  </si>
  <si>
    <t>DUKA-0602</t>
  </si>
  <si>
    <t>DUKA-0603</t>
  </si>
  <si>
    <t>DUKA-0604</t>
  </si>
  <si>
    <t>DUKA-0605</t>
  </si>
  <si>
    <t>DUKA-0606</t>
  </si>
  <si>
    <t>DUKA-0607</t>
  </si>
  <si>
    <t>DUKA-0608</t>
  </si>
  <si>
    <t>DUKA-0609</t>
  </si>
  <si>
    <t>DUKA-0610</t>
  </si>
  <si>
    <t>2026-02-03</t>
  </si>
  <si>
    <t>DUKA-0611</t>
  </si>
  <si>
    <t>DUKA-0612</t>
  </si>
  <si>
    <t>DUKA-0613</t>
  </si>
  <si>
    <t>DUKA-0614</t>
  </si>
  <si>
    <t>DUKA-0615</t>
  </si>
  <si>
    <t>DUKA-0616</t>
  </si>
  <si>
    <t>DUKA-0617</t>
  </si>
  <si>
    <t>DUKA-0618</t>
  </si>
  <si>
    <t>DUKA-0619</t>
  </si>
  <si>
    <t>DUKA-0620</t>
  </si>
  <si>
    <t>DUKA-0621</t>
  </si>
  <si>
    <t>DUKA-0622</t>
  </si>
  <si>
    <t>DUKA-0623</t>
  </si>
  <si>
    <t>DUKA-0624</t>
  </si>
  <si>
    <t>2026-06-01</t>
  </si>
  <si>
    <t>DUKA-0625</t>
  </si>
  <si>
    <t>DUKA-0626</t>
  </si>
  <si>
    <t>DUKA-0627</t>
  </si>
  <si>
    <t>DUKA-0628</t>
  </si>
  <si>
    <t>DUKA-0629</t>
  </si>
  <si>
    <t>DUKA-0630</t>
  </si>
  <si>
    <t>DUKA-0631</t>
  </si>
  <si>
    <t>DUKA-0632</t>
  </si>
  <si>
    <t>DUKA-0633</t>
  </si>
  <si>
    <t>DUKA-0634</t>
  </si>
  <si>
    <t>DUKA-0635</t>
  </si>
  <si>
    <t>DUKA-0636</t>
  </si>
  <si>
    <t>DUKA-0637</t>
  </si>
  <si>
    <t>DUKA-0638</t>
  </si>
  <si>
    <t>DUKA-0639</t>
  </si>
  <si>
    <t>DUKA-0640</t>
  </si>
  <si>
    <t>DUKA-0641</t>
  </si>
  <si>
    <t>DUKA-0642</t>
  </si>
  <si>
    <t>DUKA-0643</t>
  </si>
  <si>
    <t>DUKA-0644</t>
  </si>
  <si>
    <t>DUKA-0645</t>
  </si>
  <si>
    <t>DUKA-0646</t>
  </si>
  <si>
    <t>DUKA-0647</t>
  </si>
  <si>
    <t>DUKA-0648</t>
  </si>
  <si>
    <t>DUKA-0649</t>
  </si>
  <si>
    <t>DUKA-0650</t>
  </si>
  <si>
    <t>DUKA-0651</t>
  </si>
  <si>
    <t>DUKA-0652</t>
  </si>
  <si>
    <t>DUKA-0653</t>
  </si>
  <si>
    <t>DUKA-0654</t>
  </si>
  <si>
    <t>DUKA-0655</t>
  </si>
  <si>
    <t>DUKA-0656</t>
  </si>
  <si>
    <t>DUKA-0657</t>
  </si>
  <si>
    <t>DUKA-0658</t>
  </si>
  <si>
    <t>DUKA-0659</t>
  </si>
  <si>
    <t>DUKA-0660</t>
  </si>
  <si>
    <t>DUKA-0661</t>
  </si>
  <si>
    <t>DUKA-0662</t>
  </si>
  <si>
    <t>DUKA-0663</t>
  </si>
  <si>
    <t>DUKA-0664</t>
  </si>
  <si>
    <t>DUKA-0665</t>
  </si>
  <si>
    <t>DUKA-0666</t>
  </si>
  <si>
    <t>DUKA-0667</t>
  </si>
  <si>
    <t>DUKA-0668</t>
  </si>
  <si>
    <t>DUKA-0669</t>
  </si>
  <si>
    <t>DUKA-0670</t>
  </si>
  <si>
    <t>DUKA-0671</t>
  </si>
  <si>
    <t>DUKA-0672</t>
  </si>
  <si>
    <t>DUKA-0673</t>
  </si>
  <si>
    <t>DUKA-0674</t>
  </si>
  <si>
    <t>DUKA-0675</t>
  </si>
  <si>
    <t>DUKA-0676</t>
  </si>
  <si>
    <t>DUKA-0677</t>
  </si>
  <si>
    <t>DUKA-0678</t>
  </si>
  <si>
    <t>DUKA-0679</t>
  </si>
  <si>
    <t>DUKA-0680</t>
  </si>
  <si>
    <t>DUKA-0681</t>
  </si>
  <si>
    <t>DUKA-0682</t>
  </si>
  <si>
    <t>DUKA-0683</t>
  </si>
  <si>
    <t>DUKA-0684</t>
  </si>
  <si>
    <t>DUKA-0685</t>
  </si>
  <si>
    <t>DUKA-0686</t>
  </si>
  <si>
    <t>DUKA-0687</t>
  </si>
  <si>
    <t>DUKA-0688</t>
  </si>
  <si>
    <t>DUKA-0689</t>
  </si>
  <si>
    <t>DUKA-0690</t>
  </si>
  <si>
    <t>DUKA-0691</t>
  </si>
  <si>
    <t>DUKA-0692</t>
  </si>
  <si>
    <t>DUKA-0693</t>
  </si>
  <si>
    <t>DUKA-0694</t>
  </si>
  <si>
    <t>DUKA-0695</t>
  </si>
  <si>
    <t>DUKA-0696</t>
  </si>
  <si>
    <t>DUKA-0697</t>
  </si>
  <si>
    <t>DUKA-0698</t>
  </si>
  <si>
    <t>DUKA-0699</t>
  </si>
  <si>
    <t>DUKA-0700</t>
  </si>
  <si>
    <t>DUKA-0701</t>
  </si>
  <si>
    <t>DUKA-0702</t>
  </si>
  <si>
    <t>DUKA-0703</t>
  </si>
  <si>
    <t>DUKA-0704</t>
  </si>
  <si>
    <t>DUKA-0705</t>
  </si>
  <si>
    <t>2026-03-02</t>
  </si>
  <si>
    <t>DUKA-0706</t>
  </si>
  <si>
    <t>DUKA-0707</t>
  </si>
  <si>
    <t>DUKA-0708</t>
  </si>
  <si>
    <t>DUKA-0709</t>
  </si>
  <si>
    <t>DUKA-0710</t>
  </si>
  <si>
    <t>DUKA-0711</t>
  </si>
  <si>
    <t>DUKA-0712</t>
  </si>
  <si>
    <t>DUKA-0713</t>
  </si>
  <si>
    <t>DUKA-0714</t>
  </si>
  <si>
    <t>DUKA-0715</t>
  </si>
  <si>
    <t>DUKA-0716</t>
  </si>
  <si>
    <t>DUKA-0717</t>
  </si>
  <si>
    <t>DUKA-0718</t>
  </si>
  <si>
    <t>DUKA-0719</t>
  </si>
  <si>
    <t>DUKA-0720</t>
  </si>
  <si>
    <t>DUKA-0721</t>
  </si>
  <si>
    <t>DUKA-0722</t>
  </si>
  <si>
    <t>DUKA-0723</t>
  </si>
  <si>
    <t>DUKA-0724</t>
  </si>
  <si>
    <t>DUKA-0725</t>
  </si>
  <si>
    <t>DUKA-0726</t>
  </si>
  <si>
    <t>DUKA-0727</t>
  </si>
  <si>
    <t>DUKA-0728</t>
  </si>
  <si>
    <t>DUKA-0729</t>
  </si>
  <si>
    <t>DUKA-0730</t>
  </si>
  <si>
    <t>DUKA-0731</t>
  </si>
  <si>
    <t>DUKA-0732</t>
  </si>
  <si>
    <t>DUKA-0733</t>
  </si>
  <si>
    <t>DUKA-0734</t>
  </si>
  <si>
    <t>DUKA-0735</t>
  </si>
  <si>
    <t>DUKA-0736</t>
  </si>
  <si>
    <t>DUKA-0737</t>
  </si>
  <si>
    <t>DUKA-0738</t>
  </si>
  <si>
    <t>DUKA-0739</t>
  </si>
  <si>
    <t>DUKA-0740</t>
  </si>
  <si>
    <t>DUKA-0741</t>
  </si>
  <si>
    <t>DUKA-0742</t>
  </si>
  <si>
    <t>DUKA-0743</t>
  </si>
  <si>
    <t>DUKA-0744</t>
  </si>
  <si>
    <t>DUKA-0745</t>
  </si>
  <si>
    <t>DUKA-0746</t>
  </si>
  <si>
    <t>DUKA-0747</t>
  </si>
  <si>
    <t>DUKA-0748</t>
  </si>
  <si>
    <t>DUKA-0749</t>
  </si>
  <si>
    <t>DUKA-0750</t>
  </si>
  <si>
    <t>DUKA-0751</t>
  </si>
  <si>
    <t>DUKA-0752</t>
  </si>
  <si>
    <t>DUKA-0753</t>
  </si>
  <si>
    <t>DUKA-0754</t>
  </si>
  <si>
    <t>DUKA-0755</t>
  </si>
  <si>
    <t>DUKA-0756</t>
  </si>
  <si>
    <t>DUKA-0757</t>
  </si>
  <si>
    <t>DUKA-0758</t>
  </si>
  <si>
    <t>DUKA-0759</t>
  </si>
  <si>
    <t>DUKA-0760</t>
  </si>
  <si>
    <t>DUKA-0761</t>
  </si>
  <si>
    <t>2026-01-25</t>
  </si>
  <si>
    <t>DUKA-0762</t>
  </si>
  <si>
    <t>DUKA-0763</t>
  </si>
  <si>
    <t>DUKA-0764</t>
  </si>
  <si>
    <t>DUKA-0765</t>
  </si>
  <si>
    <t>DUKA-0766</t>
  </si>
  <si>
    <t>DUKA-0767</t>
  </si>
  <si>
    <t>DUKA-0768</t>
  </si>
  <si>
    <t>DUKA-0769</t>
  </si>
  <si>
    <t>DUKA-0770</t>
  </si>
  <si>
    <t>DUKA-0771</t>
  </si>
  <si>
    <t>DUKA-0772</t>
  </si>
  <si>
    <t>DUKA-0773</t>
  </si>
  <si>
    <t>DUKA-0774</t>
  </si>
  <si>
    <t>DUKA-0775</t>
  </si>
  <si>
    <t>DUKA-0776</t>
  </si>
  <si>
    <t>DUKA-0777</t>
  </si>
  <si>
    <t>DUKA-0778</t>
  </si>
  <si>
    <t>DUKA-0779</t>
  </si>
  <si>
    <t>DUKA-0780</t>
  </si>
  <si>
    <t>DUKA-0781</t>
  </si>
  <si>
    <t>DUKA-0782</t>
  </si>
  <si>
    <t>DUKA-0783</t>
  </si>
  <si>
    <t>DUKA-0784</t>
  </si>
  <si>
    <t>DUKA-0785</t>
  </si>
  <si>
    <t>DUKA-0786</t>
  </si>
  <si>
    <t>DUKA-0787</t>
  </si>
  <si>
    <t>DUKA-0788</t>
  </si>
  <si>
    <t>DUKA-0789</t>
  </si>
  <si>
    <t>DUKA-0790</t>
  </si>
  <si>
    <t>DUKA-0791</t>
  </si>
  <si>
    <t>DUKA-0792</t>
  </si>
  <si>
    <t>DUKA-0793</t>
  </si>
  <si>
    <t>DUKA-0794</t>
  </si>
  <si>
    <t>DUKA-0795</t>
  </si>
  <si>
    <t>DUKA-0796</t>
  </si>
  <si>
    <t>DUKA-0797</t>
  </si>
  <si>
    <t>DUKA-0798</t>
  </si>
  <si>
    <t>DUKA-0799</t>
  </si>
  <si>
    <t>DUKA-0800</t>
  </si>
  <si>
    <t>DUKA-0801</t>
  </si>
  <si>
    <t>DUKA-0802</t>
  </si>
  <si>
    <t>DUKA-0803</t>
  </si>
  <si>
    <t>DUKA-0804</t>
  </si>
  <si>
    <t>DUKA-0805</t>
  </si>
  <si>
    <t>DUKA-0806</t>
  </si>
  <si>
    <t>DUKA-0807</t>
  </si>
  <si>
    <t>DUKA-0808</t>
  </si>
  <si>
    <t>DUKA-0809</t>
  </si>
  <si>
    <t>2026-01-09</t>
  </si>
  <si>
    <t>DUKA-0810</t>
  </si>
  <si>
    <t>DUKA-0811</t>
  </si>
  <si>
    <t>DUKA-0812</t>
  </si>
  <si>
    <t>DUKA-0813</t>
  </si>
  <si>
    <t>DUKA-0814</t>
  </si>
  <si>
    <t>DUKA-0815</t>
  </si>
  <si>
    <t>DUKA-0816</t>
  </si>
  <si>
    <t>DUKA-0817</t>
  </si>
  <si>
    <t>DUKA-0818</t>
  </si>
  <si>
    <t>DUKA-0819</t>
  </si>
  <si>
    <t>DUKA-0820</t>
  </si>
  <si>
    <t>DUKA-0821</t>
  </si>
  <si>
    <t>DUKA-0822</t>
  </si>
  <si>
    <t>DUKA-0823</t>
  </si>
  <si>
    <t>DUKA-0824</t>
  </si>
  <si>
    <t>DUKA-0825</t>
  </si>
  <si>
    <t>DUKA-0826</t>
  </si>
  <si>
    <t>DUKA-0827</t>
  </si>
  <si>
    <t>2026-04-13</t>
  </si>
  <si>
    <t>DUKA-0828</t>
  </si>
  <si>
    <t>DUKA-0829</t>
  </si>
  <si>
    <t>DUKA-0830</t>
  </si>
  <si>
    <t>DUKA-0831</t>
  </si>
  <si>
    <t>DUKA-0832</t>
  </si>
  <si>
    <t>DUKA-0833</t>
  </si>
  <si>
    <t>DUKA-0834</t>
  </si>
  <si>
    <t>DUKA-0835</t>
  </si>
  <si>
    <t>DUKA-0836</t>
  </si>
  <si>
    <t>DUKA-0837</t>
  </si>
  <si>
    <t>DUKA-0838</t>
  </si>
  <si>
    <t>DUKA-0839</t>
  </si>
  <si>
    <t>DUKA-0840</t>
  </si>
  <si>
    <t>DUKA-0841</t>
  </si>
  <si>
    <t>DUKA-0842</t>
  </si>
  <si>
    <t>DUKA-0843</t>
  </si>
  <si>
    <t>DUKA-0844</t>
  </si>
  <si>
    <t>DUKA-0845</t>
  </si>
  <si>
    <t>DUKA-0846</t>
  </si>
  <si>
    <t>DUKA-0847</t>
  </si>
  <si>
    <t>DUKA-0848</t>
  </si>
  <si>
    <t>DUKA-0849</t>
  </si>
  <si>
    <t>DUKA-0850</t>
  </si>
  <si>
    <t>DUKA-0851</t>
  </si>
  <si>
    <t>DUKA-0852</t>
  </si>
  <si>
    <t>DUKA-0853</t>
  </si>
  <si>
    <t>DUKA-0854</t>
  </si>
  <si>
    <t>DUKA-0855</t>
  </si>
  <si>
    <t>DUKA-0856</t>
  </si>
  <si>
    <t>DUKA-0857</t>
  </si>
  <si>
    <t>DUKA-0858</t>
  </si>
  <si>
    <t>DUKA-0859</t>
  </si>
  <si>
    <t>DUKA-0860</t>
  </si>
  <si>
    <t>DUKA-0861</t>
  </si>
  <si>
    <t>DUKA-0862</t>
  </si>
  <si>
    <t>DUKA-0863</t>
  </si>
  <si>
    <t>DUKA-0864</t>
  </si>
  <si>
    <t>DUKA-0865</t>
  </si>
  <si>
    <t>DUKA-0866</t>
  </si>
  <si>
    <t>DUKA-0867</t>
  </si>
  <si>
    <t>DUKA-0868</t>
  </si>
  <si>
    <t>DUKA-0869</t>
  </si>
  <si>
    <t>DUKA-0870</t>
  </si>
  <si>
    <t>DUKA-0871</t>
  </si>
  <si>
    <t>DUKA-0872</t>
  </si>
  <si>
    <t>DUKA-0873</t>
  </si>
  <si>
    <t>DUKA-0874</t>
  </si>
  <si>
    <t>DUKA-0875</t>
  </si>
  <si>
    <t>2026-02-05</t>
  </si>
  <si>
    <t>DUKA-0876</t>
  </si>
  <si>
    <t>DUKA-0877</t>
  </si>
  <si>
    <t>DUKA-0878</t>
  </si>
  <si>
    <t>DUKA-0879</t>
  </si>
  <si>
    <t>DUKA-0880</t>
  </si>
  <si>
    <t>DUKA-0881</t>
  </si>
  <si>
    <t>DUKA-0882</t>
  </si>
  <si>
    <t>DUKA-0883</t>
  </si>
  <si>
    <t>DUKA-0884</t>
  </si>
  <si>
    <t>DUKA-0885</t>
  </si>
  <si>
    <t>DUKA-0886</t>
  </si>
  <si>
    <t>DUKA-0887</t>
  </si>
  <si>
    <t>DUKA-0888</t>
  </si>
  <si>
    <t>DUKA-0889</t>
  </si>
  <si>
    <t>DUKA-0890</t>
  </si>
  <si>
    <t>DUKA-0891</t>
  </si>
  <si>
    <t>DUKA-0892</t>
  </si>
  <si>
    <t>DUKA-0893</t>
  </si>
  <si>
    <t>DUKA-0894</t>
  </si>
  <si>
    <t>DUKA-0895</t>
  </si>
  <si>
    <t>DUKA-0896</t>
  </si>
  <si>
    <t>DUKA-0897</t>
  </si>
  <si>
    <t>DUKA-0898</t>
  </si>
  <si>
    <t>DUKA-0899</t>
  </si>
  <si>
    <t>DUKA-0900</t>
  </si>
  <si>
    <t>DUKA-0901</t>
  </si>
  <si>
    <t>DUKA-0902</t>
  </si>
  <si>
    <t>DUKA-0903</t>
  </si>
  <si>
    <t>DUKA-0904</t>
  </si>
  <si>
    <t>DUKA-0905</t>
  </si>
  <si>
    <t>DUKA-0906</t>
  </si>
  <si>
    <t>DUKA-0907</t>
  </si>
  <si>
    <t>DUKA-0908</t>
  </si>
  <si>
    <t>DUKA-0909</t>
  </si>
  <si>
    <t>DUKA-0910</t>
  </si>
  <si>
    <t>DUKA-0911</t>
  </si>
  <si>
    <t>DUKA-0912</t>
  </si>
  <si>
    <t>DUKA-0913</t>
  </si>
  <si>
    <t>DUKA-0914</t>
  </si>
  <si>
    <t>DUKA-0915</t>
  </si>
  <si>
    <t>DUKA-0916</t>
  </si>
  <si>
    <t>DUKA-0917</t>
  </si>
  <si>
    <t>DUKA-0918</t>
  </si>
  <si>
    <t>DUKA-0919</t>
  </si>
  <si>
    <t>DUKA-0920</t>
  </si>
  <si>
    <t>DUKA-0921</t>
  </si>
  <si>
    <t>DUKA-0922</t>
  </si>
  <si>
    <t>DUKA-0923</t>
  </si>
  <si>
    <t>DUKA-0924</t>
  </si>
  <si>
    <t>DUKA-0925</t>
  </si>
  <si>
    <t>DUKA-0926</t>
  </si>
  <si>
    <t>DUKA-0927</t>
  </si>
  <si>
    <t>DUKA-0928</t>
  </si>
  <si>
    <t>DUKA-0929</t>
  </si>
  <si>
    <t>DUKA-0930</t>
  </si>
  <si>
    <t>DUKA-0931</t>
  </si>
  <si>
    <t>DUKA-0932</t>
  </si>
  <si>
    <t>DUKA-0933</t>
  </si>
  <si>
    <t>DUKA-0934</t>
  </si>
  <si>
    <t>DUKA-0935</t>
  </si>
  <si>
    <t>DUKA-0936</t>
  </si>
  <si>
    <t>DUKA-0937</t>
  </si>
  <si>
    <t>DUKA-0938</t>
  </si>
  <si>
    <t>DUKA-0939</t>
  </si>
  <si>
    <t>DUKA-0940</t>
  </si>
  <si>
    <t>DUKA-0941</t>
  </si>
  <si>
    <t>DUKA-0942</t>
  </si>
  <si>
    <t>DUKA-0943</t>
  </si>
  <si>
    <t>DUKA-0944</t>
  </si>
  <si>
    <t>DUKA-0945</t>
  </si>
  <si>
    <t>DUKA-0946</t>
  </si>
  <si>
    <t>DUKA-0947</t>
  </si>
  <si>
    <t>DUKA-0948</t>
  </si>
  <si>
    <t>DUKA-0949</t>
  </si>
  <si>
    <t>DUKA-0950</t>
  </si>
  <si>
    <t>DUKA-0951</t>
  </si>
  <si>
    <t>DUKA-0952</t>
  </si>
  <si>
    <t>DUKA-0953</t>
  </si>
  <si>
    <t>DUKA-0954</t>
  </si>
  <si>
    <t>DUKA-0955</t>
  </si>
  <si>
    <t>DUKA-0956</t>
  </si>
  <si>
    <t>DUKA-0957</t>
  </si>
  <si>
    <t>DUKA-0958</t>
  </si>
  <si>
    <t>DUKA-0959</t>
  </si>
  <si>
    <t>DUKA-0960</t>
  </si>
  <si>
    <t>DUKA-0961</t>
  </si>
  <si>
    <t>DUKA-0962</t>
  </si>
  <si>
    <t>DUKA-0963</t>
  </si>
  <si>
    <t>DUKA-0964</t>
  </si>
  <si>
    <t>DUKA-0965</t>
  </si>
  <si>
    <t>DUKA-0966</t>
  </si>
  <si>
    <t>DUKA-0967</t>
  </si>
  <si>
    <t>DUKA-0968</t>
  </si>
  <si>
    <t>DUKA-0969</t>
  </si>
  <si>
    <t>DUKA-0970</t>
  </si>
  <si>
    <t>DUKA-0971</t>
  </si>
  <si>
    <t>DUKA-0972</t>
  </si>
  <si>
    <t>DUKA-0973</t>
  </si>
  <si>
    <t>DUKA-0974</t>
  </si>
  <si>
    <t>DUKA-0975</t>
  </si>
  <si>
    <t>DUKA-0976</t>
  </si>
  <si>
    <t>DUKA-0977</t>
  </si>
  <si>
    <t>DUKA-0978</t>
  </si>
  <si>
    <t>DUKA-0979</t>
  </si>
  <si>
    <t>DUKA-0980</t>
  </si>
  <si>
    <t>DUKA-0981</t>
  </si>
  <si>
    <t>DUKA-0982</t>
  </si>
  <si>
    <t>DUKA-0983</t>
  </si>
  <si>
    <t>DUKA-0984</t>
  </si>
  <si>
    <t>DUKA-0985</t>
  </si>
  <si>
    <t>DUKA-0986</t>
  </si>
  <si>
    <t>DUKA-0987</t>
  </si>
  <si>
    <t>DUKA-0988</t>
  </si>
  <si>
    <t>DUKA-0989</t>
  </si>
  <si>
    <t>DUKA-0990</t>
  </si>
  <si>
    <t>DUKA-0991</t>
  </si>
  <si>
    <t>DUKA-0992</t>
  </si>
  <si>
    <t>DUKA-0993</t>
  </si>
  <si>
    <t>DUKA-0994</t>
  </si>
  <si>
    <t>DUKA-0995</t>
  </si>
  <si>
    <t>DUKA-0996</t>
  </si>
  <si>
    <t>DUKA-0997</t>
  </si>
  <si>
    <t>DUKA-0998</t>
  </si>
  <si>
    <t>DUKA-0999</t>
  </si>
  <si>
    <t>DUKA-1000</t>
  </si>
  <si>
    <t>revenue_kes</t>
  </si>
  <si>
    <t>orders</t>
  </si>
  <si>
    <t>Revenue by branch and channel</t>
  </si>
  <si>
    <t>Generated as an Excel PivotTable from the Orders sheet when this notebook runs on Windows with Excel installed.</t>
  </si>
  <si>
    <t>Grand Total</t>
  </si>
  <si>
    <t>Revenue (KES)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</si>
</sst>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ENOI HPF" refreshedDate="46320.995448263886" createdVersion="8" refreshedVersion="8" minRefreshableVersion="3" recordCount="1000" xr:uid="{EB0ED1E7-A942-43E9-B06E-907C7C167F01}">
  <cacheSource type="worksheet">
    <worksheetSource ref="A1:N1001" sheet="Orders"/>
  </cacheSource>
  <cacheFields count="14">
    <cacheField name="order_id" numFmtId="0">
      <sharedItems/>
    </cacheField>
    <cacheField name="order_date" numFmtId="0">
      <sharedItems/>
    </cacheField>
    <cacheField name="branch" numFmtId="0">
      <sharedItems count="8">
        <s v="Mombasa"/>
        <s v="Nairobi"/>
        <s v="Thika"/>
        <s v="Kisumu"/>
        <s v="Nakuru"/>
        <s v="Westlands"/>
        <s v="Eldoret"/>
        <s v="Nyeri"/>
      </sharedItems>
    </cacheField>
    <cacheField name="region" numFmtId="0">
      <sharedItems/>
    </cacheField>
    <cacheField name="product" numFmtId="0">
      <sharedItems/>
    </cacheField>
    <cacheField name="category" numFmtId="0">
      <sharedItems/>
    </cacheField>
    <cacheField name="channel" numFmtId="0">
      <sharedItems count="2">
        <s v="Online"/>
        <s v="In-store"/>
      </sharedItems>
    </cacheField>
    <cacheField name="units_sold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containsInteger="1" minValue="4200" maxValue="124200"/>
    </cacheField>
    <cacheField name="revenue" numFmtId="0">
      <sharedItems containsSemiMixedTypes="0" containsString="0" containsNumber="1" containsInteger="1" minValue="4200" maxValue="600500"/>
    </cacheField>
    <cacheField name="month" numFmtId="0">
      <sharedItems/>
    </cacheField>
    <cacheField name="weekday" numFmtId="0">
      <sharedItems/>
    </cacheField>
    <cacheField name="is_weekend" numFmtId="0">
      <sharedItems/>
    </cacheField>
    <cacheField name="price_ban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DUKA-0001"/>
    <s v="2026-03-24"/>
    <x v="0"/>
    <s v="Coast"/>
    <s v="Smart Watch"/>
    <s v="Wearables"/>
    <x v="0"/>
    <n v="1"/>
    <n v="23100"/>
    <n v="23100"/>
    <s v="March"/>
    <s v="Tuesday"/>
    <b v="0"/>
    <s v="Value"/>
  </r>
  <r>
    <s v="DUKA-0002"/>
    <s v="2026-06-07"/>
    <x v="1"/>
    <s v="Capital"/>
    <s v="Laptop Pro 14"/>
    <s v="Computing"/>
    <x v="1"/>
    <n v="4"/>
    <n v="118900"/>
    <n v="475600"/>
    <s v="June"/>
    <s v="Sunday"/>
    <b v="1"/>
    <s v="Premium"/>
  </r>
  <r>
    <s v="DUKA-0003"/>
    <s v="2026-05-15"/>
    <x v="1"/>
    <s v="Capital"/>
    <s v="Smartphone X"/>
    <s v="Mobile"/>
    <x v="1"/>
    <n v="2"/>
    <n v="39700"/>
    <n v="79400"/>
    <s v="May"/>
    <s v="Friday"/>
    <b v="0"/>
    <s v="Premium"/>
  </r>
  <r>
    <s v="DUKA-0004"/>
    <s v="2026-02-18"/>
    <x v="2"/>
    <s v="Central"/>
    <s v="HD Television 32in"/>
    <s v="Television"/>
    <x v="1"/>
    <n v="3"/>
    <n v="26600"/>
    <n v="79800"/>
    <s v="February"/>
    <s v="Wednesday"/>
    <b v="0"/>
    <s v="Value"/>
  </r>
  <r>
    <s v="DUKA-0005"/>
    <s v="2026-04-16"/>
    <x v="3"/>
    <s v="Western"/>
    <s v="Wireless Headphones"/>
    <s v="Audio"/>
    <x v="1"/>
    <n v="1"/>
    <n v="8400"/>
    <n v="8400"/>
    <s v="April"/>
    <s v="Thursday"/>
    <b v="0"/>
    <s v="Value"/>
  </r>
  <r>
    <s v="DUKA-0006"/>
    <s v="2026-06-11"/>
    <x v="4"/>
    <s v="Rift Valley"/>
    <s v="Bluetooth Speaker"/>
    <s v="Audio"/>
    <x v="0"/>
    <n v="1"/>
    <n v="7000"/>
    <n v="7000"/>
    <s v="June"/>
    <s v="Thursday"/>
    <b v="0"/>
    <s v="Value"/>
  </r>
  <r>
    <s v="DUKA-0007"/>
    <s v="2026-06-21"/>
    <x v="1"/>
    <s v="Capital"/>
    <s v="Smartphone X"/>
    <s v="Mobile"/>
    <x v="1"/>
    <n v="1"/>
    <n v="44300"/>
    <n v="44300"/>
    <s v="June"/>
    <s v="Sunday"/>
    <b v="1"/>
    <s v="Premium"/>
  </r>
  <r>
    <s v="DUKA-0008"/>
    <s v="2026-02-25"/>
    <x v="5"/>
    <s v="Capital"/>
    <s v="Wireless Headphones"/>
    <s v="Audio"/>
    <x v="1"/>
    <n v="1"/>
    <n v="8100"/>
    <n v="8100"/>
    <s v="February"/>
    <s v="Wednesday"/>
    <b v="0"/>
    <s v="Value"/>
  </r>
  <r>
    <s v="DUKA-0009"/>
    <s v="2026-02-25"/>
    <x v="6"/>
    <s v="Rift Valley"/>
    <s v="HD Television 32in"/>
    <s v="Television"/>
    <x v="1"/>
    <n v="2"/>
    <n v="29700"/>
    <n v="59400"/>
    <s v="February"/>
    <s v="Wednesday"/>
    <b v="0"/>
    <s v="Premium"/>
  </r>
  <r>
    <s v="DUKA-0010"/>
    <s v="2026-01-11"/>
    <x v="6"/>
    <s v="Rift Valley"/>
    <s v="Wireless Headphones"/>
    <s v="Audio"/>
    <x v="0"/>
    <n v="3"/>
    <n v="7900"/>
    <n v="23700"/>
    <s v="January"/>
    <s v="Sunday"/>
    <b v="1"/>
    <s v="Value"/>
  </r>
  <r>
    <s v="DUKA-0011"/>
    <s v="2026-05-19"/>
    <x v="7"/>
    <s v="Central"/>
    <s v="Power Bank 20K"/>
    <s v="Accessories"/>
    <x v="1"/>
    <n v="2"/>
    <n v="4700"/>
    <n v="9400"/>
    <s v="May"/>
    <s v="Tuesday"/>
    <b v="0"/>
    <s v="Value"/>
  </r>
  <r>
    <s v="DUKA-0012"/>
    <s v="2026-02-22"/>
    <x v="5"/>
    <s v="Capital"/>
    <s v="Power Bank 20K"/>
    <s v="Accessories"/>
    <x v="0"/>
    <n v="1"/>
    <n v="4300"/>
    <n v="4300"/>
    <s v="February"/>
    <s v="Sunday"/>
    <b v="1"/>
    <s v="Value"/>
  </r>
  <r>
    <s v="DUKA-0013"/>
    <s v="2026-03-06"/>
    <x v="6"/>
    <s v="Rift Valley"/>
    <s v="Wi-Fi Router AX"/>
    <s v="Networking"/>
    <x v="0"/>
    <n v="1"/>
    <n v="12100"/>
    <n v="12100"/>
    <s v="March"/>
    <s v="Friday"/>
    <b v="0"/>
    <s v="Value"/>
  </r>
  <r>
    <s v="DUKA-0014"/>
    <s v="2026-03-11"/>
    <x v="2"/>
    <s v="Central"/>
    <s v="Smart Watch"/>
    <s v="Wearables"/>
    <x v="1"/>
    <n v="3"/>
    <n v="22200"/>
    <n v="66600"/>
    <s v="March"/>
    <s v="Wednesday"/>
    <b v="0"/>
    <s v="Value"/>
  </r>
  <r>
    <s v="DUKA-0015"/>
    <s v="2026-01-18"/>
    <x v="4"/>
    <s v="Rift Valley"/>
    <s v="Wi-Fi Router AX"/>
    <s v="Networking"/>
    <x v="1"/>
    <n v="3"/>
    <n v="12800"/>
    <n v="38400"/>
    <s v="January"/>
    <s v="Sunday"/>
    <b v="1"/>
    <s v="Value"/>
  </r>
  <r>
    <s v="DUKA-0016"/>
    <s v="2026-01-19"/>
    <x v="1"/>
    <s v="Capital"/>
    <s v="Laptop Pro 14"/>
    <s v="Computing"/>
    <x v="1"/>
    <n v="1"/>
    <n v="116600"/>
    <n v="116600"/>
    <s v="January"/>
    <s v="Monday"/>
    <b v="0"/>
    <s v="Premium"/>
  </r>
  <r>
    <s v="DUKA-0017"/>
    <s v="2026-04-16"/>
    <x v="4"/>
    <s v="Rift Valley"/>
    <s v="Smart Watch"/>
    <s v="Wearables"/>
    <x v="1"/>
    <n v="1"/>
    <n v="22600"/>
    <n v="22600"/>
    <s v="April"/>
    <s v="Thursday"/>
    <b v="0"/>
    <s v="Value"/>
  </r>
  <r>
    <s v="DUKA-0018"/>
    <s v="2026-03-19"/>
    <x v="6"/>
    <s v="Rift Valley"/>
    <s v="HD Television 32in"/>
    <s v="Television"/>
    <x v="0"/>
    <n v="2"/>
    <n v="29000"/>
    <n v="58000"/>
    <s v="March"/>
    <s v="Thursday"/>
    <b v="0"/>
    <s v="Premium"/>
  </r>
  <r>
    <s v="DUKA-0019"/>
    <s v="2026-03-01"/>
    <x v="1"/>
    <s v="Capital"/>
    <s v="Budget Smartphone"/>
    <s v="Mobile"/>
    <x v="0"/>
    <n v="1"/>
    <n v="19400"/>
    <n v="19400"/>
    <s v="March"/>
    <s v="Sunday"/>
    <b v="1"/>
    <s v="Value"/>
  </r>
  <r>
    <s v="DUKA-0020"/>
    <s v="2026-05-25"/>
    <x v="6"/>
    <s v="Rift Valley"/>
    <s v="Chromebook Air"/>
    <s v="Computing"/>
    <x v="1"/>
    <n v="2"/>
    <n v="29800"/>
    <n v="59600"/>
    <s v="May"/>
    <s v="Monday"/>
    <b v="0"/>
    <s v="Premium"/>
  </r>
  <r>
    <s v="DUKA-0021"/>
    <s v="2026-02-09"/>
    <x v="2"/>
    <s v="Central"/>
    <s v="Budget Smartphone"/>
    <s v="Mobile"/>
    <x v="1"/>
    <n v="2"/>
    <n v="17100"/>
    <n v="34200"/>
    <s v="February"/>
    <s v="Monday"/>
    <b v="0"/>
    <s v="Value"/>
  </r>
  <r>
    <s v="DUKA-0022"/>
    <s v="2026-03-16"/>
    <x v="2"/>
    <s v="Central"/>
    <s v="Tablet 10in"/>
    <s v="Computing"/>
    <x v="1"/>
    <n v="1"/>
    <n v="28800"/>
    <n v="28800"/>
    <s v="March"/>
    <s v="Monday"/>
    <b v="0"/>
    <s v="Premium"/>
  </r>
  <r>
    <s v="DUKA-0023"/>
    <s v="2026-02-27"/>
    <x v="6"/>
    <s v="Rift Valley"/>
    <s v="Wi-Fi Router AX"/>
    <s v="Networking"/>
    <x v="1"/>
    <n v="4"/>
    <n v="11100"/>
    <n v="44400"/>
    <s v="February"/>
    <s v="Friday"/>
    <b v="0"/>
    <s v="Value"/>
  </r>
  <r>
    <s v="DUKA-0024"/>
    <s v="2026-03-31"/>
    <x v="5"/>
    <s v="Capital"/>
    <s v="Tablet 10in"/>
    <s v="Computing"/>
    <x v="1"/>
    <n v="1"/>
    <n v="29200"/>
    <n v="29200"/>
    <s v="March"/>
    <s v="Tuesday"/>
    <b v="0"/>
    <s v="Premium"/>
  </r>
  <r>
    <s v="DUKA-0025"/>
    <s v="2026-01-24"/>
    <x v="6"/>
    <s v="Rift Valley"/>
    <s v="Chromebook Air"/>
    <s v="Computing"/>
    <x v="1"/>
    <n v="1"/>
    <n v="29700"/>
    <n v="29700"/>
    <s v="January"/>
    <s v="Saturday"/>
    <b v="1"/>
    <s v="Premium"/>
  </r>
  <r>
    <s v="DUKA-0026"/>
    <s v="2026-06-30"/>
    <x v="4"/>
    <s v="Rift Valley"/>
    <s v="HD Television 32in"/>
    <s v="Television"/>
    <x v="0"/>
    <n v="4"/>
    <n v="26000"/>
    <n v="104000"/>
    <s v="June"/>
    <s v="Tuesday"/>
    <b v="0"/>
    <s v="Value"/>
  </r>
  <r>
    <s v="DUKA-0027"/>
    <s v="2026-02-23"/>
    <x v="2"/>
    <s v="Central"/>
    <s v="HD Television 32in"/>
    <s v="Television"/>
    <x v="1"/>
    <n v="1"/>
    <n v="26900"/>
    <n v="26900"/>
    <s v="February"/>
    <s v="Monday"/>
    <b v="0"/>
    <s v="Value"/>
  </r>
  <r>
    <s v="DUKA-0028"/>
    <s v="2026-02-08"/>
    <x v="3"/>
    <s v="Western"/>
    <s v="Power Bank 20K"/>
    <s v="Accessories"/>
    <x v="0"/>
    <n v="1"/>
    <n v="4400"/>
    <n v="4400"/>
    <s v="February"/>
    <s v="Sunday"/>
    <b v="1"/>
    <s v="Value"/>
  </r>
  <r>
    <s v="DUKA-0029"/>
    <s v="2026-05-07"/>
    <x v="6"/>
    <s v="Rift Valley"/>
    <s v="Budget Smartphone"/>
    <s v="Mobile"/>
    <x v="1"/>
    <n v="2"/>
    <n v="19400"/>
    <n v="38800"/>
    <s v="May"/>
    <s v="Thursday"/>
    <b v="0"/>
    <s v="Value"/>
  </r>
  <r>
    <s v="DUKA-0030"/>
    <s v="2026-04-09"/>
    <x v="1"/>
    <s v="Capital"/>
    <s v="4K Television 43in"/>
    <s v="Television"/>
    <x v="0"/>
    <n v="2"/>
    <n v="52600"/>
    <n v="105200"/>
    <s v="April"/>
    <s v="Thursday"/>
    <b v="0"/>
    <s v="Premium"/>
  </r>
  <r>
    <s v="DUKA-0031"/>
    <s v="2026-05-15"/>
    <x v="6"/>
    <s v="Rift Valley"/>
    <s v="HD Television 32in"/>
    <s v="Television"/>
    <x v="1"/>
    <n v="2"/>
    <n v="28100"/>
    <n v="56200"/>
    <s v="May"/>
    <s v="Friday"/>
    <b v="0"/>
    <s v="Premium"/>
  </r>
  <r>
    <s v="DUKA-0032"/>
    <s v="2026-06-28"/>
    <x v="0"/>
    <s v="Coast"/>
    <s v="Power Bank 20K"/>
    <s v="Accessories"/>
    <x v="0"/>
    <n v="3"/>
    <n v="4300"/>
    <n v="12900"/>
    <s v="June"/>
    <s v="Sunday"/>
    <b v="1"/>
    <s v="Value"/>
  </r>
  <r>
    <s v="DUKA-0033"/>
    <s v="2026-05-07"/>
    <x v="7"/>
    <s v="Central"/>
    <s v="HD Television 32in"/>
    <s v="Television"/>
    <x v="0"/>
    <n v="1"/>
    <n v="27500"/>
    <n v="27500"/>
    <s v="May"/>
    <s v="Thursday"/>
    <b v="0"/>
    <s v="Value"/>
  </r>
  <r>
    <s v="DUKA-0034"/>
    <s v="2026-03-31"/>
    <x v="6"/>
    <s v="Rift Valley"/>
    <s v="Bluetooth Speaker"/>
    <s v="Audio"/>
    <x v="1"/>
    <n v="1"/>
    <n v="6400"/>
    <n v="6400"/>
    <s v="March"/>
    <s v="Tuesday"/>
    <b v="0"/>
    <s v="Value"/>
  </r>
  <r>
    <s v="DUKA-0035"/>
    <s v="2026-02-28"/>
    <x v="7"/>
    <s v="Central"/>
    <s v="Bluetooth Speaker"/>
    <s v="Audio"/>
    <x v="1"/>
    <n v="3"/>
    <n v="7000"/>
    <n v="21000"/>
    <s v="February"/>
    <s v="Saturday"/>
    <b v="1"/>
    <s v="Value"/>
  </r>
  <r>
    <s v="DUKA-0036"/>
    <s v="2026-04-18"/>
    <x v="6"/>
    <s v="Rift Valley"/>
    <s v="Wireless Headphones"/>
    <s v="Audio"/>
    <x v="1"/>
    <n v="1"/>
    <n v="8100"/>
    <n v="8100"/>
    <s v="April"/>
    <s v="Saturday"/>
    <b v="1"/>
    <s v="Value"/>
  </r>
  <r>
    <s v="DUKA-0037"/>
    <s v="2026-06-14"/>
    <x v="4"/>
    <s v="Rift Valley"/>
    <s v="Budget Smartphone"/>
    <s v="Mobile"/>
    <x v="0"/>
    <n v="1"/>
    <n v="18500"/>
    <n v="18500"/>
    <s v="June"/>
    <s v="Sunday"/>
    <b v="1"/>
    <s v="Value"/>
  </r>
  <r>
    <s v="DUKA-0038"/>
    <s v="2026-04-09"/>
    <x v="7"/>
    <s v="Central"/>
    <s v="Chromebook Air"/>
    <s v="Computing"/>
    <x v="0"/>
    <n v="1"/>
    <n v="33800"/>
    <n v="33800"/>
    <s v="April"/>
    <s v="Thursday"/>
    <b v="0"/>
    <s v="Premium"/>
  </r>
  <r>
    <s v="DUKA-0039"/>
    <s v="2026-04-11"/>
    <x v="4"/>
    <s v="Rift Valley"/>
    <s v="Budget Smartphone"/>
    <s v="Mobile"/>
    <x v="1"/>
    <n v="2"/>
    <n v="19400"/>
    <n v="38800"/>
    <s v="April"/>
    <s v="Saturday"/>
    <b v="1"/>
    <s v="Value"/>
  </r>
  <r>
    <s v="DUKA-0040"/>
    <s v="2026-01-21"/>
    <x v="7"/>
    <s v="Central"/>
    <s v="Laptop Pro 14"/>
    <s v="Computing"/>
    <x v="1"/>
    <n v="1"/>
    <n v="118500"/>
    <n v="118500"/>
    <s v="January"/>
    <s v="Wednesday"/>
    <b v="0"/>
    <s v="Premium"/>
  </r>
  <r>
    <s v="DUKA-0041"/>
    <s v="2026-03-21"/>
    <x v="3"/>
    <s v="Western"/>
    <s v="Smart Watch"/>
    <s v="Wearables"/>
    <x v="0"/>
    <n v="1"/>
    <n v="21200"/>
    <n v="21200"/>
    <s v="March"/>
    <s v="Saturday"/>
    <b v="1"/>
    <s v="Value"/>
  </r>
  <r>
    <s v="DUKA-0042"/>
    <s v="2026-05-10"/>
    <x v="7"/>
    <s v="Central"/>
    <s v="4K Television 43in"/>
    <s v="Television"/>
    <x v="0"/>
    <n v="1"/>
    <n v="56100"/>
    <n v="56100"/>
    <s v="May"/>
    <s v="Sunday"/>
    <b v="1"/>
    <s v="Premium"/>
  </r>
  <r>
    <s v="DUKA-0043"/>
    <s v="2026-05-29"/>
    <x v="2"/>
    <s v="Central"/>
    <s v="Budget Smartphone"/>
    <s v="Mobile"/>
    <x v="0"/>
    <n v="1"/>
    <n v="18200"/>
    <n v="18200"/>
    <s v="May"/>
    <s v="Friday"/>
    <b v="0"/>
    <s v="Value"/>
  </r>
  <r>
    <s v="DUKA-0044"/>
    <s v="2026-06-15"/>
    <x v="0"/>
    <s v="Coast"/>
    <s v="Bluetooth Speaker"/>
    <s v="Audio"/>
    <x v="0"/>
    <n v="5"/>
    <n v="7000"/>
    <n v="35000"/>
    <s v="June"/>
    <s v="Monday"/>
    <b v="0"/>
    <s v="Value"/>
  </r>
  <r>
    <s v="DUKA-0045"/>
    <s v="2026-04-28"/>
    <x v="6"/>
    <s v="Rift Valley"/>
    <s v="Chromebook Air"/>
    <s v="Computing"/>
    <x v="1"/>
    <n v="2"/>
    <n v="32900"/>
    <n v="65800"/>
    <s v="April"/>
    <s v="Tuesday"/>
    <b v="0"/>
    <s v="Premium"/>
  </r>
  <r>
    <s v="DUKA-0046"/>
    <s v="2026-06-17"/>
    <x v="1"/>
    <s v="Capital"/>
    <s v="HD Television 32in"/>
    <s v="Television"/>
    <x v="1"/>
    <n v="1"/>
    <n v="25400"/>
    <n v="25400"/>
    <s v="June"/>
    <s v="Wednesday"/>
    <b v="0"/>
    <s v="Value"/>
  </r>
  <r>
    <s v="DUKA-0047"/>
    <s v="2026-01-12"/>
    <x v="5"/>
    <s v="Capital"/>
    <s v="Power Bank 20K"/>
    <s v="Accessories"/>
    <x v="1"/>
    <n v="1"/>
    <n v="4300"/>
    <n v="4300"/>
    <s v="January"/>
    <s v="Monday"/>
    <b v="0"/>
    <s v="Value"/>
  </r>
  <r>
    <s v="DUKA-0048"/>
    <s v="2026-04-17"/>
    <x v="1"/>
    <s v="Capital"/>
    <s v="Smartphone X"/>
    <s v="Mobile"/>
    <x v="1"/>
    <n v="4"/>
    <n v="44900"/>
    <n v="179600"/>
    <s v="April"/>
    <s v="Friday"/>
    <b v="0"/>
    <s v="Premium"/>
  </r>
  <r>
    <s v="DUKA-0049"/>
    <s v="2026-02-16"/>
    <x v="1"/>
    <s v="Capital"/>
    <s v="Bluetooth Speaker"/>
    <s v="Audio"/>
    <x v="1"/>
    <n v="2"/>
    <n v="6400"/>
    <n v="12800"/>
    <s v="February"/>
    <s v="Monday"/>
    <b v="0"/>
    <s v="Value"/>
  </r>
  <r>
    <s v="DUKA-0050"/>
    <s v="2026-03-05"/>
    <x v="4"/>
    <s v="Rift Valley"/>
    <s v="Bluetooth Speaker"/>
    <s v="Audio"/>
    <x v="1"/>
    <n v="2"/>
    <n v="7200"/>
    <n v="14400"/>
    <s v="March"/>
    <s v="Thursday"/>
    <b v="0"/>
    <s v="Value"/>
  </r>
  <r>
    <s v="DUKA-0051"/>
    <s v="2026-06-21"/>
    <x v="0"/>
    <s v="Coast"/>
    <s v="Tablet 10in"/>
    <s v="Computing"/>
    <x v="1"/>
    <n v="1"/>
    <n v="28100"/>
    <n v="28100"/>
    <s v="June"/>
    <s v="Sunday"/>
    <b v="1"/>
    <s v="Premium"/>
  </r>
  <r>
    <s v="DUKA-0052"/>
    <s v="2026-05-03"/>
    <x v="2"/>
    <s v="Central"/>
    <s v="Wireless Headphones"/>
    <s v="Audio"/>
    <x v="1"/>
    <n v="2"/>
    <n v="8200"/>
    <n v="16400"/>
    <s v="May"/>
    <s v="Sunday"/>
    <b v="1"/>
    <s v="Value"/>
  </r>
  <r>
    <s v="DUKA-0053"/>
    <s v="2026-03-22"/>
    <x v="5"/>
    <s v="Capital"/>
    <s v="Budget Smartphone"/>
    <s v="Mobile"/>
    <x v="1"/>
    <n v="1"/>
    <n v="18200"/>
    <n v="18200"/>
    <s v="March"/>
    <s v="Sunday"/>
    <b v="1"/>
    <s v="Value"/>
  </r>
  <r>
    <s v="DUKA-0054"/>
    <s v="2026-06-20"/>
    <x v="4"/>
    <s v="Rift Valley"/>
    <s v="Laptop Pro 14"/>
    <s v="Computing"/>
    <x v="0"/>
    <n v="2"/>
    <n v="123900"/>
    <n v="247800"/>
    <s v="June"/>
    <s v="Saturday"/>
    <b v="1"/>
    <s v="Premium"/>
  </r>
  <r>
    <s v="DUKA-0055"/>
    <s v="2026-03-13"/>
    <x v="2"/>
    <s v="Central"/>
    <s v="Bluetooth Speaker"/>
    <s v="Audio"/>
    <x v="1"/>
    <n v="2"/>
    <n v="6400"/>
    <n v="12800"/>
    <s v="March"/>
    <s v="Friday"/>
    <b v="0"/>
    <s v="Value"/>
  </r>
  <r>
    <s v="DUKA-0056"/>
    <s v="2026-06-27"/>
    <x v="0"/>
    <s v="Coast"/>
    <s v="HD Television 32in"/>
    <s v="Television"/>
    <x v="1"/>
    <n v="2"/>
    <n v="25700"/>
    <n v="51400"/>
    <s v="June"/>
    <s v="Saturday"/>
    <b v="1"/>
    <s v="Value"/>
  </r>
  <r>
    <s v="DUKA-0057"/>
    <s v="2026-02-23"/>
    <x v="6"/>
    <s v="Rift Valley"/>
    <s v="Chromebook Air"/>
    <s v="Computing"/>
    <x v="1"/>
    <n v="1"/>
    <n v="31400"/>
    <n v="31400"/>
    <s v="February"/>
    <s v="Monday"/>
    <b v="0"/>
    <s v="Premium"/>
  </r>
  <r>
    <s v="DUKA-0058"/>
    <s v="2026-02-21"/>
    <x v="0"/>
    <s v="Coast"/>
    <s v="Bluetooth Speaker"/>
    <s v="Audio"/>
    <x v="1"/>
    <n v="4"/>
    <n v="6700"/>
    <n v="26800"/>
    <s v="February"/>
    <s v="Saturday"/>
    <b v="1"/>
    <s v="Value"/>
  </r>
  <r>
    <s v="DUKA-0059"/>
    <s v="2026-04-27"/>
    <x v="7"/>
    <s v="Central"/>
    <s v="HD Television 32in"/>
    <s v="Television"/>
    <x v="0"/>
    <n v="1"/>
    <n v="28200"/>
    <n v="28200"/>
    <s v="April"/>
    <s v="Monday"/>
    <b v="0"/>
    <s v="Premium"/>
  </r>
  <r>
    <s v="DUKA-0060"/>
    <s v="2026-06-19"/>
    <x v="5"/>
    <s v="Capital"/>
    <s v="Chromebook Air"/>
    <s v="Computing"/>
    <x v="1"/>
    <n v="2"/>
    <n v="33300"/>
    <n v="66600"/>
    <s v="June"/>
    <s v="Friday"/>
    <b v="0"/>
    <s v="Premium"/>
  </r>
  <r>
    <s v="DUKA-0061"/>
    <s v="2026-01-15"/>
    <x v="4"/>
    <s v="Rift Valley"/>
    <s v="Tablet 10in"/>
    <s v="Computing"/>
    <x v="1"/>
    <n v="1"/>
    <n v="31600"/>
    <n v="31600"/>
    <s v="January"/>
    <s v="Thursday"/>
    <b v="0"/>
    <s v="Premium"/>
  </r>
  <r>
    <s v="DUKA-0062"/>
    <s v="2026-05-13"/>
    <x v="7"/>
    <s v="Central"/>
    <s v="Laptop Pro 14"/>
    <s v="Computing"/>
    <x v="1"/>
    <n v="1"/>
    <n v="106900"/>
    <n v="106900"/>
    <s v="May"/>
    <s v="Wednesday"/>
    <b v="0"/>
    <s v="Premium"/>
  </r>
  <r>
    <s v="DUKA-0063"/>
    <s v="2026-03-16"/>
    <x v="7"/>
    <s v="Central"/>
    <s v="Tablet 10in"/>
    <s v="Computing"/>
    <x v="1"/>
    <n v="1"/>
    <n v="28500"/>
    <n v="28500"/>
    <s v="March"/>
    <s v="Monday"/>
    <b v="0"/>
    <s v="Premium"/>
  </r>
  <r>
    <s v="DUKA-0064"/>
    <s v="2026-06-07"/>
    <x v="7"/>
    <s v="Central"/>
    <s v="Smart Watch"/>
    <s v="Wearables"/>
    <x v="0"/>
    <n v="1"/>
    <n v="23200"/>
    <n v="23200"/>
    <s v="June"/>
    <s v="Sunday"/>
    <b v="1"/>
    <s v="Value"/>
  </r>
  <r>
    <s v="DUKA-0065"/>
    <s v="2026-05-22"/>
    <x v="7"/>
    <s v="Central"/>
    <s v="Tablet 10in"/>
    <s v="Computing"/>
    <x v="0"/>
    <n v="1"/>
    <n v="29500"/>
    <n v="29500"/>
    <s v="May"/>
    <s v="Friday"/>
    <b v="0"/>
    <s v="Premium"/>
  </r>
  <r>
    <s v="DUKA-0066"/>
    <s v="2026-01-31"/>
    <x v="4"/>
    <s v="Rift Valley"/>
    <s v="Power Bank 20K"/>
    <s v="Accessories"/>
    <x v="1"/>
    <n v="2"/>
    <n v="4700"/>
    <n v="9400"/>
    <s v="January"/>
    <s v="Saturday"/>
    <b v="1"/>
    <s v="Value"/>
  </r>
  <r>
    <s v="DUKA-0067"/>
    <s v="2026-05-02"/>
    <x v="3"/>
    <s v="Western"/>
    <s v="4K Television 43in"/>
    <s v="Television"/>
    <x v="0"/>
    <n v="1"/>
    <n v="57800"/>
    <n v="57800"/>
    <s v="May"/>
    <s v="Saturday"/>
    <b v="1"/>
    <s v="Premium"/>
  </r>
  <r>
    <s v="DUKA-0068"/>
    <s v="2026-06-26"/>
    <x v="5"/>
    <s v="Capital"/>
    <s v="HD Television 32in"/>
    <s v="Television"/>
    <x v="1"/>
    <n v="1"/>
    <n v="26300"/>
    <n v="26300"/>
    <s v="June"/>
    <s v="Friday"/>
    <b v="0"/>
    <s v="Value"/>
  </r>
  <r>
    <s v="DUKA-0069"/>
    <s v="2026-01-27"/>
    <x v="5"/>
    <s v="Capital"/>
    <s v="Laptop Pro 14"/>
    <s v="Computing"/>
    <x v="0"/>
    <n v="2"/>
    <n v="114000"/>
    <n v="228000"/>
    <s v="January"/>
    <s v="Tuesday"/>
    <b v="0"/>
    <s v="Premium"/>
  </r>
  <r>
    <s v="DUKA-0070"/>
    <s v="2026-05-17"/>
    <x v="4"/>
    <s v="Rift Valley"/>
    <s v="Wireless Headphones"/>
    <s v="Audio"/>
    <x v="1"/>
    <n v="3"/>
    <n v="9000"/>
    <n v="27000"/>
    <s v="May"/>
    <s v="Sunday"/>
    <b v="1"/>
    <s v="Value"/>
  </r>
  <r>
    <s v="DUKA-0071"/>
    <s v="2026-01-20"/>
    <x v="2"/>
    <s v="Central"/>
    <s v="Bluetooth Speaker"/>
    <s v="Audio"/>
    <x v="1"/>
    <n v="1"/>
    <n v="7200"/>
    <n v="7200"/>
    <s v="January"/>
    <s v="Tuesday"/>
    <b v="0"/>
    <s v="Value"/>
  </r>
  <r>
    <s v="DUKA-0072"/>
    <s v="2026-01-31"/>
    <x v="3"/>
    <s v="Western"/>
    <s v="Tablet 10in"/>
    <s v="Computing"/>
    <x v="1"/>
    <n v="1"/>
    <n v="30700"/>
    <n v="30700"/>
    <s v="January"/>
    <s v="Saturday"/>
    <b v="1"/>
    <s v="Premium"/>
  </r>
  <r>
    <s v="DUKA-0073"/>
    <s v="2026-02-17"/>
    <x v="3"/>
    <s v="Western"/>
    <s v="Power Bank 20K"/>
    <s v="Accessories"/>
    <x v="1"/>
    <n v="3"/>
    <n v="4800"/>
    <n v="14400"/>
    <s v="February"/>
    <s v="Tuesday"/>
    <b v="0"/>
    <s v="Value"/>
  </r>
  <r>
    <s v="DUKA-0074"/>
    <s v="2026-04-08"/>
    <x v="6"/>
    <s v="Rift Valley"/>
    <s v="4K Television 43in"/>
    <s v="Television"/>
    <x v="1"/>
    <n v="1"/>
    <n v="54100"/>
    <n v="54100"/>
    <s v="April"/>
    <s v="Wednesday"/>
    <b v="0"/>
    <s v="Premium"/>
  </r>
  <r>
    <s v="DUKA-0075"/>
    <s v="2026-05-22"/>
    <x v="4"/>
    <s v="Rift Valley"/>
    <s v="HD Television 32in"/>
    <s v="Television"/>
    <x v="0"/>
    <n v="1"/>
    <n v="27700"/>
    <n v="27700"/>
    <s v="May"/>
    <s v="Friday"/>
    <b v="0"/>
    <s v="Value"/>
  </r>
  <r>
    <s v="DUKA-0076"/>
    <s v="2026-01-21"/>
    <x v="7"/>
    <s v="Central"/>
    <s v="Bluetooth Speaker"/>
    <s v="Audio"/>
    <x v="1"/>
    <n v="1"/>
    <n v="6700"/>
    <n v="6700"/>
    <s v="January"/>
    <s v="Wednesday"/>
    <b v="0"/>
    <s v="Value"/>
  </r>
  <r>
    <s v="DUKA-0077"/>
    <s v="2026-01-08"/>
    <x v="1"/>
    <s v="Capital"/>
    <s v="Bluetooth Speaker"/>
    <s v="Audio"/>
    <x v="0"/>
    <n v="1"/>
    <n v="7100"/>
    <n v="7100"/>
    <s v="January"/>
    <s v="Thursday"/>
    <b v="0"/>
    <s v="Value"/>
  </r>
  <r>
    <s v="DUKA-0078"/>
    <s v="2026-05-12"/>
    <x v="3"/>
    <s v="Western"/>
    <s v="Smart Watch"/>
    <s v="Wearables"/>
    <x v="1"/>
    <n v="1"/>
    <n v="22400"/>
    <n v="22400"/>
    <s v="May"/>
    <s v="Tuesday"/>
    <b v="0"/>
    <s v="Value"/>
  </r>
  <r>
    <s v="DUKA-0079"/>
    <s v="2026-02-28"/>
    <x v="0"/>
    <s v="Coast"/>
    <s v="Smartphone X"/>
    <s v="Mobile"/>
    <x v="0"/>
    <n v="1"/>
    <n v="41400"/>
    <n v="41400"/>
    <s v="February"/>
    <s v="Saturday"/>
    <b v="1"/>
    <s v="Premium"/>
  </r>
  <r>
    <s v="DUKA-0080"/>
    <s v="2026-04-18"/>
    <x v="7"/>
    <s v="Central"/>
    <s v="Chromebook Air"/>
    <s v="Computing"/>
    <x v="1"/>
    <n v="2"/>
    <n v="31000"/>
    <n v="62000"/>
    <s v="April"/>
    <s v="Saturday"/>
    <b v="1"/>
    <s v="Premium"/>
  </r>
  <r>
    <s v="DUKA-0081"/>
    <s v="2026-03-18"/>
    <x v="1"/>
    <s v="Capital"/>
    <s v="Wireless Headphones"/>
    <s v="Audio"/>
    <x v="0"/>
    <n v="1"/>
    <n v="9100"/>
    <n v="9100"/>
    <s v="March"/>
    <s v="Wednesday"/>
    <b v="0"/>
    <s v="Value"/>
  </r>
  <r>
    <s v="DUKA-0082"/>
    <s v="2026-04-15"/>
    <x v="6"/>
    <s v="Rift Valley"/>
    <s v="Wi-Fi Router AX"/>
    <s v="Networking"/>
    <x v="1"/>
    <n v="2"/>
    <n v="12500"/>
    <n v="25000"/>
    <s v="April"/>
    <s v="Wednesday"/>
    <b v="0"/>
    <s v="Value"/>
  </r>
  <r>
    <s v="DUKA-0083"/>
    <s v="2026-03-01"/>
    <x v="0"/>
    <s v="Coast"/>
    <s v="Wireless Headphones"/>
    <s v="Audio"/>
    <x v="1"/>
    <n v="1"/>
    <n v="8200"/>
    <n v="8200"/>
    <s v="March"/>
    <s v="Sunday"/>
    <b v="1"/>
    <s v="Value"/>
  </r>
  <r>
    <s v="DUKA-0084"/>
    <s v="2026-06-03"/>
    <x v="6"/>
    <s v="Rift Valley"/>
    <s v="Chromebook Air"/>
    <s v="Computing"/>
    <x v="1"/>
    <n v="1"/>
    <n v="30900"/>
    <n v="30900"/>
    <s v="June"/>
    <s v="Wednesday"/>
    <b v="0"/>
    <s v="Premium"/>
  </r>
  <r>
    <s v="DUKA-0085"/>
    <s v="2026-01-21"/>
    <x v="4"/>
    <s v="Rift Valley"/>
    <s v="Smartphone X"/>
    <s v="Mobile"/>
    <x v="1"/>
    <n v="2"/>
    <n v="42700"/>
    <n v="85400"/>
    <s v="January"/>
    <s v="Wednesday"/>
    <b v="0"/>
    <s v="Premium"/>
  </r>
  <r>
    <s v="DUKA-0086"/>
    <s v="2026-05-20"/>
    <x v="6"/>
    <s v="Rift Valley"/>
    <s v="Chromebook Air"/>
    <s v="Computing"/>
    <x v="0"/>
    <n v="3"/>
    <n v="32800"/>
    <n v="98400"/>
    <s v="May"/>
    <s v="Wednesday"/>
    <b v="0"/>
    <s v="Premium"/>
  </r>
  <r>
    <s v="DUKA-0087"/>
    <s v="2026-03-19"/>
    <x v="7"/>
    <s v="Central"/>
    <s v="Budget Smartphone"/>
    <s v="Mobile"/>
    <x v="0"/>
    <n v="5"/>
    <n v="19800"/>
    <n v="99000"/>
    <s v="March"/>
    <s v="Thursday"/>
    <b v="0"/>
    <s v="Value"/>
  </r>
  <r>
    <s v="DUKA-0088"/>
    <s v="2026-01-17"/>
    <x v="7"/>
    <s v="Central"/>
    <s v="Wi-Fi Router AX"/>
    <s v="Networking"/>
    <x v="1"/>
    <n v="1"/>
    <n v="12900"/>
    <n v="12900"/>
    <s v="January"/>
    <s v="Saturday"/>
    <b v="1"/>
    <s v="Value"/>
  </r>
  <r>
    <s v="DUKA-0089"/>
    <s v="2026-06-13"/>
    <x v="6"/>
    <s v="Rift Valley"/>
    <s v="Bluetooth Speaker"/>
    <s v="Audio"/>
    <x v="0"/>
    <n v="5"/>
    <n v="7300"/>
    <n v="36500"/>
    <s v="June"/>
    <s v="Saturday"/>
    <b v="1"/>
    <s v="Value"/>
  </r>
  <r>
    <s v="DUKA-0090"/>
    <s v="2026-05-18"/>
    <x v="0"/>
    <s v="Coast"/>
    <s v="Laptop Pro 14"/>
    <s v="Computing"/>
    <x v="1"/>
    <n v="2"/>
    <n v="117200"/>
    <n v="234400"/>
    <s v="May"/>
    <s v="Monday"/>
    <b v="0"/>
    <s v="Premium"/>
  </r>
  <r>
    <s v="DUKA-0091"/>
    <s v="2026-01-28"/>
    <x v="3"/>
    <s v="Western"/>
    <s v="4K Television 43in"/>
    <s v="Television"/>
    <x v="0"/>
    <n v="2"/>
    <n v="57000"/>
    <n v="114000"/>
    <s v="January"/>
    <s v="Wednesday"/>
    <b v="0"/>
    <s v="Premium"/>
  </r>
  <r>
    <s v="DUKA-0092"/>
    <s v="2026-04-09"/>
    <x v="5"/>
    <s v="Capital"/>
    <s v="Bluetooth Speaker"/>
    <s v="Audio"/>
    <x v="1"/>
    <n v="3"/>
    <n v="7300"/>
    <n v="21900"/>
    <s v="April"/>
    <s v="Thursday"/>
    <b v="0"/>
    <s v="Value"/>
  </r>
  <r>
    <s v="DUKA-0093"/>
    <s v="2026-01-29"/>
    <x v="7"/>
    <s v="Central"/>
    <s v="Bluetooth Speaker"/>
    <s v="Audio"/>
    <x v="0"/>
    <n v="1"/>
    <n v="6500"/>
    <n v="6500"/>
    <s v="January"/>
    <s v="Thursday"/>
    <b v="0"/>
    <s v="Value"/>
  </r>
  <r>
    <s v="DUKA-0094"/>
    <s v="2026-02-04"/>
    <x v="6"/>
    <s v="Rift Valley"/>
    <s v="4K Television 43in"/>
    <s v="Television"/>
    <x v="0"/>
    <n v="2"/>
    <n v="51000"/>
    <n v="102000"/>
    <s v="February"/>
    <s v="Wednesday"/>
    <b v="0"/>
    <s v="Premium"/>
  </r>
  <r>
    <s v="DUKA-0095"/>
    <s v="2026-02-23"/>
    <x v="1"/>
    <s v="Capital"/>
    <s v="HD Television 32in"/>
    <s v="Television"/>
    <x v="0"/>
    <n v="4"/>
    <n v="26500"/>
    <n v="106000"/>
    <s v="February"/>
    <s v="Monday"/>
    <b v="0"/>
    <s v="Value"/>
  </r>
  <r>
    <s v="DUKA-0096"/>
    <s v="2026-03-04"/>
    <x v="7"/>
    <s v="Central"/>
    <s v="Laptop Pro 14"/>
    <s v="Computing"/>
    <x v="1"/>
    <n v="2"/>
    <n v="117700"/>
    <n v="235400"/>
    <s v="March"/>
    <s v="Wednesday"/>
    <b v="0"/>
    <s v="Premium"/>
  </r>
  <r>
    <s v="DUKA-0097"/>
    <s v="2026-06-28"/>
    <x v="4"/>
    <s v="Rift Valley"/>
    <s v="Budget Smartphone"/>
    <s v="Mobile"/>
    <x v="1"/>
    <n v="1"/>
    <n v="18500"/>
    <n v="18500"/>
    <s v="June"/>
    <s v="Sunday"/>
    <b v="1"/>
    <s v="Value"/>
  </r>
  <r>
    <s v="DUKA-0098"/>
    <s v="2026-04-03"/>
    <x v="4"/>
    <s v="Rift Valley"/>
    <s v="Wi-Fi Router AX"/>
    <s v="Networking"/>
    <x v="1"/>
    <n v="1"/>
    <n v="11600"/>
    <n v="11600"/>
    <s v="April"/>
    <s v="Friday"/>
    <b v="0"/>
    <s v="Value"/>
  </r>
  <r>
    <s v="DUKA-0099"/>
    <s v="2026-03-17"/>
    <x v="5"/>
    <s v="Capital"/>
    <s v="Tablet 10in"/>
    <s v="Computing"/>
    <x v="1"/>
    <n v="1"/>
    <n v="29300"/>
    <n v="29300"/>
    <s v="March"/>
    <s v="Tuesday"/>
    <b v="0"/>
    <s v="Premium"/>
  </r>
  <r>
    <s v="DUKA-0100"/>
    <s v="2026-06-05"/>
    <x v="6"/>
    <s v="Rift Valley"/>
    <s v="4K Television 43in"/>
    <s v="Television"/>
    <x v="1"/>
    <n v="1"/>
    <n v="50900"/>
    <n v="50900"/>
    <s v="June"/>
    <s v="Friday"/>
    <b v="0"/>
    <s v="Premium"/>
  </r>
  <r>
    <s v="DUKA-0101"/>
    <s v="2026-01-07"/>
    <x v="1"/>
    <s v="Capital"/>
    <s v="Bluetooth Speaker"/>
    <s v="Audio"/>
    <x v="1"/>
    <n v="1"/>
    <n v="6400"/>
    <n v="6400"/>
    <s v="January"/>
    <s v="Wednesday"/>
    <b v="0"/>
    <s v="Value"/>
  </r>
  <r>
    <s v="DUKA-0102"/>
    <s v="2026-06-09"/>
    <x v="0"/>
    <s v="Coast"/>
    <s v="HD Television 32in"/>
    <s v="Television"/>
    <x v="0"/>
    <n v="1"/>
    <n v="26400"/>
    <n v="26400"/>
    <s v="June"/>
    <s v="Tuesday"/>
    <b v="0"/>
    <s v="Value"/>
  </r>
  <r>
    <s v="DUKA-0103"/>
    <s v="2026-01-07"/>
    <x v="3"/>
    <s v="Western"/>
    <s v="Smartphone X"/>
    <s v="Mobile"/>
    <x v="0"/>
    <n v="2"/>
    <n v="41200"/>
    <n v="82400"/>
    <s v="January"/>
    <s v="Wednesday"/>
    <b v="0"/>
    <s v="Premium"/>
  </r>
  <r>
    <s v="DUKA-0104"/>
    <s v="2026-01-19"/>
    <x v="2"/>
    <s v="Central"/>
    <s v="Wireless Headphones"/>
    <s v="Audio"/>
    <x v="1"/>
    <n v="3"/>
    <n v="8600"/>
    <n v="25800"/>
    <s v="January"/>
    <s v="Monday"/>
    <b v="0"/>
    <s v="Value"/>
  </r>
  <r>
    <s v="DUKA-0105"/>
    <s v="2026-01-06"/>
    <x v="1"/>
    <s v="Capital"/>
    <s v="Wireless Headphones"/>
    <s v="Audio"/>
    <x v="1"/>
    <n v="1"/>
    <n v="8700"/>
    <n v="8700"/>
    <s v="January"/>
    <s v="Tuesday"/>
    <b v="0"/>
    <s v="Value"/>
  </r>
  <r>
    <s v="DUKA-0106"/>
    <s v="2026-03-22"/>
    <x v="7"/>
    <s v="Central"/>
    <s v="Bluetooth Speaker"/>
    <s v="Audio"/>
    <x v="1"/>
    <n v="4"/>
    <n v="7200"/>
    <n v="28800"/>
    <s v="March"/>
    <s v="Sunday"/>
    <b v="1"/>
    <s v="Value"/>
  </r>
  <r>
    <s v="DUKA-0107"/>
    <s v="2026-06-27"/>
    <x v="7"/>
    <s v="Central"/>
    <s v="Wi-Fi Router AX"/>
    <s v="Networking"/>
    <x v="1"/>
    <n v="1"/>
    <n v="12500"/>
    <n v="12500"/>
    <s v="June"/>
    <s v="Saturday"/>
    <b v="1"/>
    <s v="Value"/>
  </r>
  <r>
    <s v="DUKA-0108"/>
    <s v="2026-06-02"/>
    <x v="5"/>
    <s v="Capital"/>
    <s v="Bluetooth Speaker"/>
    <s v="Audio"/>
    <x v="0"/>
    <n v="2"/>
    <n v="7100"/>
    <n v="14200"/>
    <s v="June"/>
    <s v="Tuesday"/>
    <b v="0"/>
    <s v="Value"/>
  </r>
  <r>
    <s v="DUKA-0109"/>
    <s v="2026-01-13"/>
    <x v="3"/>
    <s v="Western"/>
    <s v="Smart Watch"/>
    <s v="Wearables"/>
    <x v="1"/>
    <n v="2"/>
    <n v="21200"/>
    <n v="42400"/>
    <s v="January"/>
    <s v="Tuesday"/>
    <b v="0"/>
    <s v="Value"/>
  </r>
  <r>
    <s v="DUKA-0110"/>
    <s v="2026-04-20"/>
    <x v="1"/>
    <s v="Capital"/>
    <s v="Bluetooth Speaker"/>
    <s v="Audio"/>
    <x v="1"/>
    <n v="1"/>
    <n v="7200"/>
    <n v="7200"/>
    <s v="April"/>
    <s v="Monday"/>
    <b v="0"/>
    <s v="Value"/>
  </r>
  <r>
    <s v="DUKA-0111"/>
    <s v="2026-06-19"/>
    <x v="1"/>
    <s v="Capital"/>
    <s v="Smartphone X"/>
    <s v="Mobile"/>
    <x v="0"/>
    <n v="3"/>
    <n v="44600"/>
    <n v="133800"/>
    <s v="June"/>
    <s v="Friday"/>
    <b v="0"/>
    <s v="Premium"/>
  </r>
  <r>
    <s v="DUKA-0112"/>
    <s v="2026-06-04"/>
    <x v="0"/>
    <s v="Coast"/>
    <s v="Wi-Fi Router AX"/>
    <s v="Networking"/>
    <x v="1"/>
    <n v="2"/>
    <n v="12300"/>
    <n v="24600"/>
    <s v="June"/>
    <s v="Thursday"/>
    <b v="0"/>
    <s v="Value"/>
  </r>
  <r>
    <s v="DUKA-0113"/>
    <s v="2026-02-20"/>
    <x v="1"/>
    <s v="Capital"/>
    <s v="Power Bank 20K"/>
    <s v="Accessories"/>
    <x v="0"/>
    <n v="2"/>
    <n v="4200"/>
    <n v="8400"/>
    <s v="February"/>
    <s v="Friday"/>
    <b v="0"/>
    <s v="Value"/>
  </r>
  <r>
    <s v="DUKA-0114"/>
    <s v="2026-04-19"/>
    <x v="0"/>
    <s v="Coast"/>
    <s v="4K Television 43in"/>
    <s v="Television"/>
    <x v="0"/>
    <n v="1"/>
    <n v="51500"/>
    <n v="51500"/>
    <s v="April"/>
    <s v="Sunday"/>
    <b v="1"/>
    <s v="Premium"/>
  </r>
  <r>
    <s v="DUKA-0115"/>
    <s v="2026-03-05"/>
    <x v="7"/>
    <s v="Central"/>
    <s v="Tablet 10in"/>
    <s v="Computing"/>
    <x v="0"/>
    <n v="2"/>
    <n v="31000"/>
    <n v="62000"/>
    <s v="March"/>
    <s v="Thursday"/>
    <b v="0"/>
    <s v="Premium"/>
  </r>
  <r>
    <s v="DUKA-0116"/>
    <s v="2026-02-10"/>
    <x v="6"/>
    <s v="Rift Valley"/>
    <s v="Wireless Headphones"/>
    <s v="Audio"/>
    <x v="1"/>
    <n v="1"/>
    <n v="7900"/>
    <n v="7900"/>
    <s v="February"/>
    <s v="Tuesday"/>
    <b v="0"/>
    <s v="Value"/>
  </r>
  <r>
    <s v="DUKA-0117"/>
    <s v="2026-06-09"/>
    <x v="1"/>
    <s v="Capital"/>
    <s v="Power Bank 20K"/>
    <s v="Accessories"/>
    <x v="1"/>
    <n v="1"/>
    <n v="4300"/>
    <n v="4300"/>
    <s v="June"/>
    <s v="Tuesday"/>
    <b v="0"/>
    <s v="Value"/>
  </r>
  <r>
    <s v="DUKA-0118"/>
    <s v="2026-04-02"/>
    <x v="0"/>
    <s v="Coast"/>
    <s v="Smartphone X"/>
    <s v="Mobile"/>
    <x v="0"/>
    <n v="1"/>
    <n v="40200"/>
    <n v="40200"/>
    <s v="April"/>
    <s v="Thursday"/>
    <b v="0"/>
    <s v="Premium"/>
  </r>
  <r>
    <s v="DUKA-0119"/>
    <s v="2026-03-28"/>
    <x v="6"/>
    <s v="Rift Valley"/>
    <s v="Smartphone X"/>
    <s v="Mobile"/>
    <x v="1"/>
    <n v="1"/>
    <n v="41800"/>
    <n v="41800"/>
    <s v="March"/>
    <s v="Saturday"/>
    <b v="1"/>
    <s v="Premium"/>
  </r>
  <r>
    <s v="DUKA-0120"/>
    <s v="2026-04-04"/>
    <x v="6"/>
    <s v="Rift Valley"/>
    <s v="Power Bank 20K"/>
    <s v="Accessories"/>
    <x v="0"/>
    <n v="1"/>
    <n v="4400"/>
    <n v="4400"/>
    <s v="April"/>
    <s v="Saturday"/>
    <b v="1"/>
    <s v="Value"/>
  </r>
  <r>
    <s v="DUKA-0121"/>
    <s v="2026-02-08"/>
    <x v="0"/>
    <s v="Coast"/>
    <s v="Smart Watch"/>
    <s v="Wearables"/>
    <x v="0"/>
    <n v="3"/>
    <n v="20500"/>
    <n v="61500"/>
    <s v="February"/>
    <s v="Sunday"/>
    <b v="1"/>
    <s v="Value"/>
  </r>
  <r>
    <s v="DUKA-0122"/>
    <s v="2026-06-11"/>
    <x v="3"/>
    <s v="Western"/>
    <s v="4K Television 43in"/>
    <s v="Television"/>
    <x v="0"/>
    <n v="2"/>
    <n v="54100"/>
    <n v="108200"/>
    <s v="June"/>
    <s v="Thursday"/>
    <b v="0"/>
    <s v="Premium"/>
  </r>
  <r>
    <s v="DUKA-0123"/>
    <s v="2026-04-19"/>
    <x v="2"/>
    <s v="Central"/>
    <s v="Power Bank 20K"/>
    <s v="Accessories"/>
    <x v="0"/>
    <n v="1"/>
    <n v="4800"/>
    <n v="4800"/>
    <s v="April"/>
    <s v="Sunday"/>
    <b v="1"/>
    <s v="Value"/>
  </r>
  <r>
    <s v="DUKA-0124"/>
    <s v="2026-03-06"/>
    <x v="2"/>
    <s v="Central"/>
    <s v="Chromebook Air"/>
    <s v="Computing"/>
    <x v="0"/>
    <n v="1"/>
    <n v="33900"/>
    <n v="33900"/>
    <s v="March"/>
    <s v="Friday"/>
    <b v="0"/>
    <s v="Premium"/>
  </r>
  <r>
    <s v="DUKA-0125"/>
    <s v="2026-04-19"/>
    <x v="1"/>
    <s v="Capital"/>
    <s v="Wi-Fi Router AX"/>
    <s v="Networking"/>
    <x v="1"/>
    <n v="1"/>
    <n v="11200"/>
    <n v="11200"/>
    <s v="April"/>
    <s v="Sunday"/>
    <b v="1"/>
    <s v="Value"/>
  </r>
  <r>
    <s v="DUKA-0126"/>
    <s v="2026-02-12"/>
    <x v="1"/>
    <s v="Capital"/>
    <s v="Bluetooth Speaker"/>
    <s v="Audio"/>
    <x v="1"/>
    <n v="1"/>
    <n v="6700"/>
    <n v="6700"/>
    <s v="February"/>
    <s v="Thursday"/>
    <b v="0"/>
    <s v="Value"/>
  </r>
  <r>
    <s v="DUKA-0127"/>
    <s v="2026-03-30"/>
    <x v="3"/>
    <s v="Western"/>
    <s v="Chromebook Air"/>
    <s v="Computing"/>
    <x v="0"/>
    <n v="2"/>
    <n v="30000"/>
    <n v="60000"/>
    <s v="March"/>
    <s v="Monday"/>
    <b v="0"/>
    <s v="Premium"/>
  </r>
  <r>
    <s v="DUKA-0128"/>
    <s v="2026-05-16"/>
    <x v="1"/>
    <s v="Capital"/>
    <s v="Budget Smartphone"/>
    <s v="Mobile"/>
    <x v="0"/>
    <n v="1"/>
    <n v="18900"/>
    <n v="18900"/>
    <s v="May"/>
    <s v="Saturday"/>
    <b v="1"/>
    <s v="Value"/>
  </r>
  <r>
    <s v="DUKA-0129"/>
    <s v="2026-05-31"/>
    <x v="5"/>
    <s v="Capital"/>
    <s v="Laptop Pro 14"/>
    <s v="Computing"/>
    <x v="1"/>
    <n v="2"/>
    <n v="123000"/>
    <n v="246000"/>
    <s v="May"/>
    <s v="Sunday"/>
    <b v="1"/>
    <s v="Premium"/>
  </r>
  <r>
    <s v="DUKA-0130"/>
    <s v="2026-03-17"/>
    <x v="6"/>
    <s v="Rift Valley"/>
    <s v="Smart Watch"/>
    <s v="Wearables"/>
    <x v="1"/>
    <n v="1"/>
    <n v="21800"/>
    <n v="21800"/>
    <s v="March"/>
    <s v="Tuesday"/>
    <b v="0"/>
    <s v="Value"/>
  </r>
  <r>
    <s v="DUKA-0131"/>
    <s v="2026-05-10"/>
    <x v="4"/>
    <s v="Rift Valley"/>
    <s v="Bluetooth Speaker"/>
    <s v="Audio"/>
    <x v="0"/>
    <n v="1"/>
    <n v="7300"/>
    <n v="7300"/>
    <s v="May"/>
    <s v="Sunday"/>
    <b v="1"/>
    <s v="Value"/>
  </r>
  <r>
    <s v="DUKA-0132"/>
    <s v="2026-03-29"/>
    <x v="0"/>
    <s v="Coast"/>
    <s v="Tablet 10in"/>
    <s v="Computing"/>
    <x v="1"/>
    <n v="1"/>
    <n v="27500"/>
    <n v="27500"/>
    <s v="March"/>
    <s v="Sunday"/>
    <b v="1"/>
    <s v="Value"/>
  </r>
  <r>
    <s v="DUKA-0133"/>
    <s v="2026-01-15"/>
    <x v="6"/>
    <s v="Rift Valley"/>
    <s v="Wireless Headphones"/>
    <s v="Audio"/>
    <x v="0"/>
    <n v="1"/>
    <n v="8800"/>
    <n v="8800"/>
    <s v="January"/>
    <s v="Thursday"/>
    <b v="0"/>
    <s v="Value"/>
  </r>
  <r>
    <s v="DUKA-0134"/>
    <s v="2026-06-26"/>
    <x v="3"/>
    <s v="Western"/>
    <s v="Smartphone X"/>
    <s v="Mobile"/>
    <x v="1"/>
    <n v="4"/>
    <n v="38800"/>
    <n v="155200"/>
    <s v="June"/>
    <s v="Friday"/>
    <b v="0"/>
    <s v="Premium"/>
  </r>
  <r>
    <s v="DUKA-0135"/>
    <s v="2026-06-07"/>
    <x v="2"/>
    <s v="Central"/>
    <s v="Chromebook Air"/>
    <s v="Computing"/>
    <x v="1"/>
    <n v="1"/>
    <n v="30800"/>
    <n v="30800"/>
    <s v="June"/>
    <s v="Sunday"/>
    <b v="1"/>
    <s v="Premium"/>
  </r>
  <r>
    <s v="DUKA-0136"/>
    <s v="2026-05-03"/>
    <x v="4"/>
    <s v="Rift Valley"/>
    <s v="Wireless Headphones"/>
    <s v="Audio"/>
    <x v="1"/>
    <n v="1"/>
    <n v="8000"/>
    <n v="8000"/>
    <s v="May"/>
    <s v="Sunday"/>
    <b v="1"/>
    <s v="Value"/>
  </r>
  <r>
    <s v="DUKA-0137"/>
    <s v="2026-01-10"/>
    <x v="2"/>
    <s v="Central"/>
    <s v="Wi-Fi Router AX"/>
    <s v="Networking"/>
    <x v="0"/>
    <n v="1"/>
    <n v="12900"/>
    <n v="12900"/>
    <s v="January"/>
    <s v="Saturday"/>
    <b v="1"/>
    <s v="Value"/>
  </r>
  <r>
    <s v="DUKA-0138"/>
    <s v="2026-05-02"/>
    <x v="2"/>
    <s v="Central"/>
    <s v="Wi-Fi Router AX"/>
    <s v="Networking"/>
    <x v="1"/>
    <n v="3"/>
    <n v="11900"/>
    <n v="35700"/>
    <s v="May"/>
    <s v="Saturday"/>
    <b v="1"/>
    <s v="Value"/>
  </r>
  <r>
    <s v="DUKA-0139"/>
    <s v="2026-02-13"/>
    <x v="4"/>
    <s v="Rift Valley"/>
    <s v="Wi-Fi Router AX"/>
    <s v="Networking"/>
    <x v="1"/>
    <n v="1"/>
    <n v="11500"/>
    <n v="11500"/>
    <s v="February"/>
    <s v="Friday"/>
    <b v="0"/>
    <s v="Value"/>
  </r>
  <r>
    <s v="DUKA-0140"/>
    <s v="2026-06-19"/>
    <x v="3"/>
    <s v="Western"/>
    <s v="Chromebook Air"/>
    <s v="Computing"/>
    <x v="1"/>
    <n v="1"/>
    <n v="34300"/>
    <n v="34300"/>
    <s v="June"/>
    <s v="Friday"/>
    <b v="0"/>
    <s v="Premium"/>
  </r>
  <r>
    <s v="DUKA-0141"/>
    <s v="2026-01-17"/>
    <x v="0"/>
    <s v="Coast"/>
    <s v="Wireless Headphones"/>
    <s v="Audio"/>
    <x v="0"/>
    <n v="2"/>
    <n v="8900"/>
    <n v="17800"/>
    <s v="January"/>
    <s v="Saturday"/>
    <b v="1"/>
    <s v="Value"/>
  </r>
  <r>
    <s v="DUKA-0142"/>
    <s v="2026-05-10"/>
    <x v="3"/>
    <s v="Western"/>
    <s v="4K Television 43in"/>
    <s v="Television"/>
    <x v="1"/>
    <n v="1"/>
    <n v="49900"/>
    <n v="49900"/>
    <s v="May"/>
    <s v="Sunday"/>
    <b v="1"/>
    <s v="Premium"/>
  </r>
  <r>
    <s v="DUKA-0143"/>
    <s v="2026-03-12"/>
    <x v="4"/>
    <s v="Rift Valley"/>
    <s v="HD Television 32in"/>
    <s v="Television"/>
    <x v="0"/>
    <n v="1"/>
    <n v="27000"/>
    <n v="27000"/>
    <s v="March"/>
    <s v="Thursday"/>
    <b v="0"/>
    <s v="Value"/>
  </r>
  <r>
    <s v="DUKA-0144"/>
    <s v="2026-06-22"/>
    <x v="0"/>
    <s v="Coast"/>
    <s v="Wireless Headphones"/>
    <s v="Audio"/>
    <x v="1"/>
    <n v="3"/>
    <n v="8600"/>
    <n v="25800"/>
    <s v="June"/>
    <s v="Monday"/>
    <b v="0"/>
    <s v="Value"/>
  </r>
  <r>
    <s v="DUKA-0145"/>
    <s v="2026-05-22"/>
    <x v="3"/>
    <s v="Western"/>
    <s v="Laptop Pro 14"/>
    <s v="Computing"/>
    <x v="0"/>
    <n v="1"/>
    <n v="120700"/>
    <n v="120700"/>
    <s v="May"/>
    <s v="Friday"/>
    <b v="0"/>
    <s v="Premium"/>
  </r>
  <r>
    <s v="DUKA-0146"/>
    <s v="2026-04-25"/>
    <x v="1"/>
    <s v="Capital"/>
    <s v="Power Bank 20K"/>
    <s v="Accessories"/>
    <x v="1"/>
    <n v="1"/>
    <n v="4600"/>
    <n v="4600"/>
    <s v="April"/>
    <s v="Saturday"/>
    <b v="1"/>
    <s v="Value"/>
  </r>
  <r>
    <s v="DUKA-0147"/>
    <s v="2026-04-05"/>
    <x v="0"/>
    <s v="Coast"/>
    <s v="4K Television 43in"/>
    <s v="Television"/>
    <x v="1"/>
    <n v="1"/>
    <n v="57800"/>
    <n v="57800"/>
    <s v="April"/>
    <s v="Sunday"/>
    <b v="1"/>
    <s v="Premium"/>
  </r>
  <r>
    <s v="DUKA-0148"/>
    <s v="2026-04-17"/>
    <x v="2"/>
    <s v="Central"/>
    <s v="Tablet 10in"/>
    <s v="Computing"/>
    <x v="1"/>
    <n v="1"/>
    <n v="28200"/>
    <n v="28200"/>
    <s v="April"/>
    <s v="Friday"/>
    <b v="0"/>
    <s v="Premium"/>
  </r>
  <r>
    <s v="DUKA-0149"/>
    <s v="2026-04-21"/>
    <x v="7"/>
    <s v="Central"/>
    <s v="Tablet 10in"/>
    <s v="Computing"/>
    <x v="1"/>
    <n v="1"/>
    <n v="27500"/>
    <n v="27500"/>
    <s v="April"/>
    <s v="Tuesday"/>
    <b v="0"/>
    <s v="Value"/>
  </r>
  <r>
    <s v="DUKA-0150"/>
    <s v="2026-02-21"/>
    <x v="0"/>
    <s v="Coast"/>
    <s v="Smart Watch"/>
    <s v="Wearables"/>
    <x v="0"/>
    <n v="2"/>
    <n v="23300"/>
    <n v="46600"/>
    <s v="February"/>
    <s v="Saturday"/>
    <b v="1"/>
    <s v="Value"/>
  </r>
  <r>
    <s v="DUKA-0151"/>
    <s v="2026-04-07"/>
    <x v="7"/>
    <s v="Central"/>
    <s v="Tablet 10in"/>
    <s v="Computing"/>
    <x v="0"/>
    <n v="3"/>
    <n v="30400"/>
    <n v="91200"/>
    <s v="April"/>
    <s v="Tuesday"/>
    <b v="0"/>
    <s v="Premium"/>
  </r>
  <r>
    <s v="DUKA-0152"/>
    <s v="2026-02-11"/>
    <x v="0"/>
    <s v="Coast"/>
    <s v="HD Television 32in"/>
    <s v="Television"/>
    <x v="1"/>
    <n v="3"/>
    <n v="29400"/>
    <n v="88200"/>
    <s v="February"/>
    <s v="Wednesday"/>
    <b v="0"/>
    <s v="Premium"/>
  </r>
  <r>
    <s v="DUKA-0153"/>
    <s v="2026-02-19"/>
    <x v="7"/>
    <s v="Central"/>
    <s v="Chromebook Air"/>
    <s v="Computing"/>
    <x v="1"/>
    <n v="1"/>
    <n v="33300"/>
    <n v="33300"/>
    <s v="February"/>
    <s v="Thursday"/>
    <b v="0"/>
    <s v="Premium"/>
  </r>
  <r>
    <s v="DUKA-0154"/>
    <s v="2026-04-07"/>
    <x v="5"/>
    <s v="Capital"/>
    <s v="Budget Smartphone"/>
    <s v="Mobile"/>
    <x v="1"/>
    <n v="2"/>
    <n v="17600"/>
    <n v="35200"/>
    <s v="April"/>
    <s v="Tuesday"/>
    <b v="0"/>
    <s v="Value"/>
  </r>
  <r>
    <s v="DUKA-0155"/>
    <s v="2026-04-25"/>
    <x v="0"/>
    <s v="Coast"/>
    <s v="Budget Smartphone"/>
    <s v="Mobile"/>
    <x v="1"/>
    <n v="1"/>
    <n v="17100"/>
    <n v="17100"/>
    <s v="April"/>
    <s v="Saturday"/>
    <b v="1"/>
    <s v="Value"/>
  </r>
  <r>
    <s v="DUKA-0156"/>
    <s v="2026-01-11"/>
    <x v="0"/>
    <s v="Coast"/>
    <s v="Tablet 10in"/>
    <s v="Computing"/>
    <x v="1"/>
    <n v="2"/>
    <n v="30500"/>
    <n v="61000"/>
    <s v="January"/>
    <s v="Sunday"/>
    <b v="1"/>
    <s v="Premium"/>
  </r>
  <r>
    <s v="DUKA-0157"/>
    <s v="2026-06-27"/>
    <x v="7"/>
    <s v="Central"/>
    <s v="Chromebook Air"/>
    <s v="Computing"/>
    <x v="1"/>
    <n v="1"/>
    <n v="33700"/>
    <n v="33700"/>
    <s v="June"/>
    <s v="Saturday"/>
    <b v="1"/>
    <s v="Premium"/>
  </r>
  <r>
    <s v="DUKA-0158"/>
    <s v="2026-01-31"/>
    <x v="7"/>
    <s v="Central"/>
    <s v="Smartphone X"/>
    <s v="Mobile"/>
    <x v="1"/>
    <n v="1"/>
    <n v="40500"/>
    <n v="40500"/>
    <s v="January"/>
    <s v="Saturday"/>
    <b v="1"/>
    <s v="Premium"/>
  </r>
  <r>
    <s v="DUKA-0159"/>
    <s v="2026-04-10"/>
    <x v="0"/>
    <s v="Coast"/>
    <s v="Smartphone X"/>
    <s v="Mobile"/>
    <x v="1"/>
    <n v="1"/>
    <n v="43400"/>
    <n v="43400"/>
    <s v="April"/>
    <s v="Friday"/>
    <b v="0"/>
    <s v="Premium"/>
  </r>
  <r>
    <s v="DUKA-0160"/>
    <s v="2026-05-09"/>
    <x v="3"/>
    <s v="Western"/>
    <s v="Chromebook Air"/>
    <s v="Computing"/>
    <x v="0"/>
    <n v="1"/>
    <n v="30700"/>
    <n v="30700"/>
    <s v="May"/>
    <s v="Saturday"/>
    <b v="1"/>
    <s v="Premium"/>
  </r>
  <r>
    <s v="DUKA-0161"/>
    <s v="2026-02-18"/>
    <x v="5"/>
    <s v="Capital"/>
    <s v="Tablet 10in"/>
    <s v="Computing"/>
    <x v="1"/>
    <n v="2"/>
    <n v="27600"/>
    <n v="55200"/>
    <s v="February"/>
    <s v="Wednesday"/>
    <b v="0"/>
    <s v="Value"/>
  </r>
  <r>
    <s v="DUKA-0162"/>
    <s v="2026-05-03"/>
    <x v="6"/>
    <s v="Rift Valley"/>
    <s v="Chromebook Air"/>
    <s v="Computing"/>
    <x v="1"/>
    <n v="1"/>
    <n v="30400"/>
    <n v="30400"/>
    <s v="May"/>
    <s v="Sunday"/>
    <b v="1"/>
    <s v="Premium"/>
  </r>
  <r>
    <s v="DUKA-0163"/>
    <s v="2026-04-02"/>
    <x v="5"/>
    <s v="Capital"/>
    <s v="Budget Smartphone"/>
    <s v="Mobile"/>
    <x v="1"/>
    <n v="2"/>
    <n v="17200"/>
    <n v="34400"/>
    <s v="April"/>
    <s v="Thursday"/>
    <b v="0"/>
    <s v="Value"/>
  </r>
  <r>
    <s v="DUKA-0164"/>
    <s v="2026-01-06"/>
    <x v="6"/>
    <s v="Rift Valley"/>
    <s v="Wi-Fi Router AX"/>
    <s v="Networking"/>
    <x v="1"/>
    <n v="1"/>
    <n v="12800"/>
    <n v="12800"/>
    <s v="January"/>
    <s v="Tuesday"/>
    <b v="0"/>
    <s v="Value"/>
  </r>
  <r>
    <s v="DUKA-0165"/>
    <s v="2026-06-07"/>
    <x v="6"/>
    <s v="Rift Valley"/>
    <s v="Smartphone X"/>
    <s v="Mobile"/>
    <x v="1"/>
    <n v="1"/>
    <n v="43500"/>
    <n v="43500"/>
    <s v="June"/>
    <s v="Sunday"/>
    <b v="1"/>
    <s v="Premium"/>
  </r>
  <r>
    <s v="DUKA-0166"/>
    <s v="2026-01-30"/>
    <x v="0"/>
    <s v="Coast"/>
    <s v="Bluetooth Speaker"/>
    <s v="Audio"/>
    <x v="1"/>
    <n v="2"/>
    <n v="6600"/>
    <n v="13200"/>
    <s v="January"/>
    <s v="Friday"/>
    <b v="0"/>
    <s v="Value"/>
  </r>
  <r>
    <s v="DUKA-0167"/>
    <s v="2026-01-22"/>
    <x v="7"/>
    <s v="Central"/>
    <s v="Budget Smartphone"/>
    <s v="Mobile"/>
    <x v="0"/>
    <n v="4"/>
    <n v="18900"/>
    <n v="75600"/>
    <s v="January"/>
    <s v="Thursday"/>
    <b v="0"/>
    <s v="Value"/>
  </r>
  <r>
    <s v="DUKA-0168"/>
    <s v="2026-04-22"/>
    <x v="6"/>
    <s v="Rift Valley"/>
    <s v="Budget Smartphone"/>
    <s v="Mobile"/>
    <x v="1"/>
    <n v="1"/>
    <n v="17300"/>
    <n v="17300"/>
    <s v="April"/>
    <s v="Wednesday"/>
    <b v="0"/>
    <s v="Value"/>
  </r>
  <r>
    <s v="DUKA-0169"/>
    <s v="2026-02-04"/>
    <x v="7"/>
    <s v="Central"/>
    <s v="Wireless Headphones"/>
    <s v="Audio"/>
    <x v="1"/>
    <n v="1"/>
    <n v="8300"/>
    <n v="8300"/>
    <s v="February"/>
    <s v="Wednesday"/>
    <b v="0"/>
    <s v="Value"/>
  </r>
  <r>
    <s v="DUKA-0170"/>
    <s v="2026-03-15"/>
    <x v="2"/>
    <s v="Central"/>
    <s v="Smartphone X"/>
    <s v="Mobile"/>
    <x v="0"/>
    <n v="3"/>
    <n v="39900"/>
    <n v="119700"/>
    <s v="March"/>
    <s v="Sunday"/>
    <b v="1"/>
    <s v="Premium"/>
  </r>
  <r>
    <s v="DUKA-0171"/>
    <s v="2026-01-07"/>
    <x v="6"/>
    <s v="Rift Valley"/>
    <s v="Smart Watch"/>
    <s v="Wearables"/>
    <x v="1"/>
    <n v="1"/>
    <n v="22600"/>
    <n v="22600"/>
    <s v="January"/>
    <s v="Wednesday"/>
    <b v="0"/>
    <s v="Value"/>
  </r>
  <r>
    <s v="DUKA-0172"/>
    <s v="2026-04-17"/>
    <x v="6"/>
    <s v="Rift Valley"/>
    <s v="HD Television 32in"/>
    <s v="Television"/>
    <x v="0"/>
    <n v="1"/>
    <n v="27400"/>
    <n v="27400"/>
    <s v="April"/>
    <s v="Friday"/>
    <b v="0"/>
    <s v="Value"/>
  </r>
  <r>
    <s v="DUKA-0173"/>
    <s v="2026-06-08"/>
    <x v="7"/>
    <s v="Central"/>
    <s v="Tablet 10in"/>
    <s v="Computing"/>
    <x v="1"/>
    <n v="2"/>
    <n v="28100"/>
    <n v="56200"/>
    <s v="June"/>
    <s v="Monday"/>
    <b v="0"/>
    <s v="Premium"/>
  </r>
  <r>
    <s v="DUKA-0174"/>
    <s v="2026-01-24"/>
    <x v="7"/>
    <s v="Central"/>
    <s v="Bluetooth Speaker"/>
    <s v="Audio"/>
    <x v="0"/>
    <n v="1"/>
    <n v="6700"/>
    <n v="6700"/>
    <s v="January"/>
    <s v="Saturday"/>
    <b v="1"/>
    <s v="Value"/>
  </r>
  <r>
    <s v="DUKA-0175"/>
    <s v="2026-04-14"/>
    <x v="3"/>
    <s v="Western"/>
    <s v="4K Television 43in"/>
    <s v="Television"/>
    <x v="0"/>
    <n v="1"/>
    <n v="56000"/>
    <n v="56000"/>
    <s v="April"/>
    <s v="Tuesday"/>
    <b v="0"/>
    <s v="Premium"/>
  </r>
  <r>
    <s v="DUKA-0176"/>
    <s v="2026-06-06"/>
    <x v="7"/>
    <s v="Central"/>
    <s v="HD Television 32in"/>
    <s v="Television"/>
    <x v="0"/>
    <n v="2"/>
    <n v="29600"/>
    <n v="59200"/>
    <s v="June"/>
    <s v="Saturday"/>
    <b v="1"/>
    <s v="Premium"/>
  </r>
  <r>
    <s v="DUKA-0177"/>
    <s v="2026-02-08"/>
    <x v="7"/>
    <s v="Central"/>
    <s v="Bluetooth Speaker"/>
    <s v="Audio"/>
    <x v="0"/>
    <n v="2"/>
    <n v="6500"/>
    <n v="13000"/>
    <s v="February"/>
    <s v="Sunday"/>
    <b v="1"/>
    <s v="Value"/>
  </r>
  <r>
    <s v="DUKA-0178"/>
    <s v="2026-02-16"/>
    <x v="2"/>
    <s v="Central"/>
    <s v="4K Television 43in"/>
    <s v="Television"/>
    <x v="0"/>
    <n v="1"/>
    <n v="53000"/>
    <n v="53000"/>
    <s v="February"/>
    <s v="Monday"/>
    <b v="0"/>
    <s v="Premium"/>
  </r>
  <r>
    <s v="DUKA-0179"/>
    <s v="2026-03-25"/>
    <x v="6"/>
    <s v="Rift Valley"/>
    <s v="4K Television 43in"/>
    <s v="Television"/>
    <x v="1"/>
    <n v="1"/>
    <n v="52500"/>
    <n v="52500"/>
    <s v="March"/>
    <s v="Wednesday"/>
    <b v="0"/>
    <s v="Premium"/>
  </r>
  <r>
    <s v="DUKA-0180"/>
    <s v="2026-03-09"/>
    <x v="7"/>
    <s v="Central"/>
    <s v="Smart Watch"/>
    <s v="Wearables"/>
    <x v="0"/>
    <n v="3"/>
    <n v="22200"/>
    <n v="66600"/>
    <s v="March"/>
    <s v="Monday"/>
    <b v="0"/>
    <s v="Value"/>
  </r>
  <r>
    <s v="DUKA-0181"/>
    <s v="2026-01-16"/>
    <x v="3"/>
    <s v="Western"/>
    <s v="Chromebook Air"/>
    <s v="Computing"/>
    <x v="1"/>
    <n v="1"/>
    <n v="31000"/>
    <n v="31000"/>
    <s v="January"/>
    <s v="Friday"/>
    <b v="0"/>
    <s v="Premium"/>
  </r>
  <r>
    <s v="DUKA-0182"/>
    <s v="2026-03-23"/>
    <x v="5"/>
    <s v="Capital"/>
    <s v="Tablet 10in"/>
    <s v="Computing"/>
    <x v="1"/>
    <n v="2"/>
    <n v="28100"/>
    <n v="56200"/>
    <s v="March"/>
    <s v="Monday"/>
    <b v="0"/>
    <s v="Premium"/>
  </r>
  <r>
    <s v="DUKA-0183"/>
    <s v="2026-06-15"/>
    <x v="4"/>
    <s v="Rift Valley"/>
    <s v="Laptop Pro 14"/>
    <s v="Computing"/>
    <x v="0"/>
    <n v="1"/>
    <n v="115500"/>
    <n v="115500"/>
    <s v="June"/>
    <s v="Monday"/>
    <b v="0"/>
    <s v="Premium"/>
  </r>
  <r>
    <s v="DUKA-0184"/>
    <s v="2026-04-18"/>
    <x v="5"/>
    <s v="Capital"/>
    <s v="Laptop Pro 14"/>
    <s v="Computing"/>
    <x v="1"/>
    <n v="1"/>
    <n v="108600"/>
    <n v="108600"/>
    <s v="April"/>
    <s v="Saturday"/>
    <b v="1"/>
    <s v="Premium"/>
  </r>
  <r>
    <s v="DUKA-0185"/>
    <s v="2026-02-27"/>
    <x v="3"/>
    <s v="Western"/>
    <s v="Chromebook Air"/>
    <s v="Computing"/>
    <x v="1"/>
    <n v="2"/>
    <n v="29600"/>
    <n v="59200"/>
    <s v="February"/>
    <s v="Friday"/>
    <b v="0"/>
    <s v="Premium"/>
  </r>
  <r>
    <s v="DUKA-0186"/>
    <s v="2026-06-27"/>
    <x v="2"/>
    <s v="Central"/>
    <s v="Tablet 10in"/>
    <s v="Computing"/>
    <x v="0"/>
    <n v="1"/>
    <n v="29200"/>
    <n v="29200"/>
    <s v="June"/>
    <s v="Saturday"/>
    <b v="1"/>
    <s v="Premium"/>
  </r>
  <r>
    <s v="DUKA-0187"/>
    <s v="2026-01-16"/>
    <x v="7"/>
    <s v="Central"/>
    <s v="Laptop Pro 14"/>
    <s v="Computing"/>
    <x v="0"/>
    <n v="1"/>
    <n v="123900"/>
    <n v="123900"/>
    <s v="January"/>
    <s v="Friday"/>
    <b v="0"/>
    <s v="Premium"/>
  </r>
  <r>
    <s v="DUKA-0188"/>
    <s v="2026-02-07"/>
    <x v="6"/>
    <s v="Rift Valley"/>
    <s v="Power Bank 20K"/>
    <s v="Accessories"/>
    <x v="1"/>
    <n v="5"/>
    <n v="4400"/>
    <n v="22000"/>
    <s v="February"/>
    <s v="Saturday"/>
    <b v="1"/>
    <s v="Value"/>
  </r>
  <r>
    <s v="DUKA-0189"/>
    <s v="2026-06-28"/>
    <x v="0"/>
    <s v="Coast"/>
    <s v="4K Television 43in"/>
    <s v="Television"/>
    <x v="1"/>
    <n v="3"/>
    <n v="52200"/>
    <n v="156600"/>
    <s v="June"/>
    <s v="Sunday"/>
    <b v="1"/>
    <s v="Premium"/>
  </r>
  <r>
    <s v="DUKA-0190"/>
    <s v="2026-01-30"/>
    <x v="5"/>
    <s v="Capital"/>
    <s v="HD Television 32in"/>
    <s v="Television"/>
    <x v="1"/>
    <n v="1"/>
    <n v="27700"/>
    <n v="27700"/>
    <s v="January"/>
    <s v="Friday"/>
    <b v="0"/>
    <s v="Value"/>
  </r>
  <r>
    <s v="DUKA-0191"/>
    <s v="2026-05-28"/>
    <x v="4"/>
    <s v="Rift Valley"/>
    <s v="Smartphone X"/>
    <s v="Mobile"/>
    <x v="1"/>
    <n v="1"/>
    <n v="42900"/>
    <n v="42900"/>
    <s v="May"/>
    <s v="Thursday"/>
    <b v="0"/>
    <s v="Premium"/>
  </r>
  <r>
    <s v="DUKA-0192"/>
    <s v="2026-01-27"/>
    <x v="3"/>
    <s v="Western"/>
    <s v="HD Television 32in"/>
    <s v="Television"/>
    <x v="1"/>
    <n v="2"/>
    <n v="27200"/>
    <n v="54400"/>
    <s v="January"/>
    <s v="Tuesday"/>
    <b v="0"/>
    <s v="Value"/>
  </r>
  <r>
    <s v="DUKA-0193"/>
    <s v="2026-02-10"/>
    <x v="3"/>
    <s v="Western"/>
    <s v="Smartphone X"/>
    <s v="Mobile"/>
    <x v="0"/>
    <n v="1"/>
    <n v="44400"/>
    <n v="44400"/>
    <s v="February"/>
    <s v="Tuesday"/>
    <b v="0"/>
    <s v="Premium"/>
  </r>
  <r>
    <s v="DUKA-0194"/>
    <s v="2026-05-21"/>
    <x v="5"/>
    <s v="Capital"/>
    <s v="4K Television 43in"/>
    <s v="Television"/>
    <x v="1"/>
    <n v="1"/>
    <n v="52000"/>
    <n v="52000"/>
    <s v="May"/>
    <s v="Thursday"/>
    <b v="0"/>
    <s v="Premium"/>
  </r>
  <r>
    <s v="DUKA-0195"/>
    <s v="2026-04-29"/>
    <x v="2"/>
    <s v="Central"/>
    <s v="Power Bank 20K"/>
    <s v="Accessories"/>
    <x v="1"/>
    <n v="4"/>
    <n v="4400"/>
    <n v="17600"/>
    <s v="April"/>
    <s v="Wednesday"/>
    <b v="0"/>
    <s v="Value"/>
  </r>
  <r>
    <s v="DUKA-0196"/>
    <s v="2026-03-11"/>
    <x v="2"/>
    <s v="Central"/>
    <s v="Tablet 10in"/>
    <s v="Computing"/>
    <x v="1"/>
    <n v="1"/>
    <n v="28400"/>
    <n v="28400"/>
    <s v="March"/>
    <s v="Wednesday"/>
    <b v="0"/>
    <s v="Premium"/>
  </r>
  <r>
    <s v="DUKA-0197"/>
    <s v="2026-02-18"/>
    <x v="6"/>
    <s v="Rift Valley"/>
    <s v="Tablet 10in"/>
    <s v="Computing"/>
    <x v="1"/>
    <n v="1"/>
    <n v="31000"/>
    <n v="31000"/>
    <s v="February"/>
    <s v="Wednesday"/>
    <b v="0"/>
    <s v="Premium"/>
  </r>
  <r>
    <s v="DUKA-0198"/>
    <s v="2026-06-17"/>
    <x v="2"/>
    <s v="Central"/>
    <s v="Laptop Pro 14"/>
    <s v="Computing"/>
    <x v="1"/>
    <n v="1"/>
    <n v="111900"/>
    <n v="111900"/>
    <s v="June"/>
    <s v="Wednesday"/>
    <b v="0"/>
    <s v="Premium"/>
  </r>
  <r>
    <s v="DUKA-0199"/>
    <s v="2026-03-25"/>
    <x v="2"/>
    <s v="Central"/>
    <s v="Power Bank 20K"/>
    <s v="Accessories"/>
    <x v="1"/>
    <n v="3"/>
    <n v="4300"/>
    <n v="12900"/>
    <s v="March"/>
    <s v="Wednesday"/>
    <b v="0"/>
    <s v="Value"/>
  </r>
  <r>
    <s v="DUKA-0200"/>
    <s v="2026-01-13"/>
    <x v="6"/>
    <s v="Rift Valley"/>
    <s v="HD Television 32in"/>
    <s v="Television"/>
    <x v="1"/>
    <n v="2"/>
    <n v="27600"/>
    <n v="55200"/>
    <s v="January"/>
    <s v="Tuesday"/>
    <b v="0"/>
    <s v="Value"/>
  </r>
  <r>
    <s v="DUKA-0201"/>
    <s v="2026-05-23"/>
    <x v="7"/>
    <s v="Central"/>
    <s v="Wi-Fi Router AX"/>
    <s v="Networking"/>
    <x v="1"/>
    <n v="1"/>
    <n v="11400"/>
    <n v="11400"/>
    <s v="May"/>
    <s v="Saturday"/>
    <b v="1"/>
    <s v="Value"/>
  </r>
  <r>
    <s v="DUKA-0202"/>
    <s v="2026-04-07"/>
    <x v="3"/>
    <s v="Western"/>
    <s v="Power Bank 20K"/>
    <s v="Accessories"/>
    <x v="1"/>
    <n v="2"/>
    <n v="4800"/>
    <n v="9600"/>
    <s v="April"/>
    <s v="Tuesday"/>
    <b v="0"/>
    <s v="Value"/>
  </r>
  <r>
    <s v="DUKA-0203"/>
    <s v="2026-01-31"/>
    <x v="4"/>
    <s v="Rift Valley"/>
    <s v="Bluetooth Speaker"/>
    <s v="Audio"/>
    <x v="0"/>
    <n v="1"/>
    <n v="6500"/>
    <n v="6500"/>
    <s v="January"/>
    <s v="Saturday"/>
    <b v="1"/>
    <s v="Value"/>
  </r>
  <r>
    <s v="DUKA-0204"/>
    <s v="2026-05-18"/>
    <x v="4"/>
    <s v="Rift Valley"/>
    <s v="Budget Smartphone"/>
    <s v="Mobile"/>
    <x v="1"/>
    <n v="1"/>
    <n v="18300"/>
    <n v="18300"/>
    <s v="May"/>
    <s v="Monday"/>
    <b v="0"/>
    <s v="Value"/>
  </r>
  <r>
    <s v="DUKA-0205"/>
    <s v="2026-04-04"/>
    <x v="2"/>
    <s v="Central"/>
    <s v="Power Bank 20K"/>
    <s v="Accessories"/>
    <x v="0"/>
    <n v="1"/>
    <n v="4600"/>
    <n v="4600"/>
    <s v="April"/>
    <s v="Saturday"/>
    <b v="1"/>
    <s v="Value"/>
  </r>
  <r>
    <s v="DUKA-0206"/>
    <s v="2026-04-02"/>
    <x v="7"/>
    <s v="Central"/>
    <s v="HD Television 32in"/>
    <s v="Television"/>
    <x v="1"/>
    <n v="3"/>
    <n v="26200"/>
    <n v="78600"/>
    <s v="April"/>
    <s v="Thursday"/>
    <b v="0"/>
    <s v="Value"/>
  </r>
  <r>
    <s v="DUKA-0207"/>
    <s v="2026-06-03"/>
    <x v="3"/>
    <s v="Western"/>
    <s v="Budget Smartphone"/>
    <s v="Mobile"/>
    <x v="1"/>
    <n v="1"/>
    <n v="19200"/>
    <n v="19200"/>
    <s v="June"/>
    <s v="Wednesday"/>
    <b v="0"/>
    <s v="Value"/>
  </r>
  <r>
    <s v="DUKA-0208"/>
    <s v="2026-03-15"/>
    <x v="2"/>
    <s v="Central"/>
    <s v="Wireless Headphones"/>
    <s v="Audio"/>
    <x v="1"/>
    <n v="1"/>
    <n v="8600"/>
    <n v="8600"/>
    <s v="March"/>
    <s v="Sunday"/>
    <b v="1"/>
    <s v="Value"/>
  </r>
  <r>
    <s v="DUKA-0209"/>
    <s v="2026-01-08"/>
    <x v="3"/>
    <s v="Western"/>
    <s v="Budget Smartphone"/>
    <s v="Mobile"/>
    <x v="1"/>
    <n v="1"/>
    <n v="18200"/>
    <n v="18200"/>
    <s v="January"/>
    <s v="Thursday"/>
    <b v="0"/>
    <s v="Value"/>
  </r>
  <r>
    <s v="DUKA-0210"/>
    <s v="2026-05-27"/>
    <x v="6"/>
    <s v="Rift Valley"/>
    <s v="Power Bank 20K"/>
    <s v="Accessories"/>
    <x v="0"/>
    <n v="1"/>
    <n v="4300"/>
    <n v="4300"/>
    <s v="May"/>
    <s v="Wednesday"/>
    <b v="0"/>
    <s v="Value"/>
  </r>
  <r>
    <s v="DUKA-0211"/>
    <s v="2026-02-07"/>
    <x v="5"/>
    <s v="Capital"/>
    <s v="Wireless Headphones"/>
    <s v="Audio"/>
    <x v="1"/>
    <n v="1"/>
    <n v="8700"/>
    <n v="8700"/>
    <s v="February"/>
    <s v="Saturday"/>
    <b v="1"/>
    <s v="Value"/>
  </r>
  <r>
    <s v="DUKA-0212"/>
    <s v="2026-04-03"/>
    <x v="3"/>
    <s v="Western"/>
    <s v="Smartphone X"/>
    <s v="Mobile"/>
    <x v="0"/>
    <n v="2"/>
    <n v="41500"/>
    <n v="83000"/>
    <s v="April"/>
    <s v="Friday"/>
    <b v="0"/>
    <s v="Premium"/>
  </r>
  <r>
    <s v="DUKA-0213"/>
    <s v="2026-03-19"/>
    <x v="3"/>
    <s v="Western"/>
    <s v="Chromebook Air"/>
    <s v="Computing"/>
    <x v="1"/>
    <n v="2"/>
    <n v="33000"/>
    <n v="66000"/>
    <s v="March"/>
    <s v="Thursday"/>
    <b v="0"/>
    <s v="Premium"/>
  </r>
  <r>
    <s v="DUKA-0214"/>
    <s v="2026-06-14"/>
    <x v="2"/>
    <s v="Central"/>
    <s v="HD Television 32in"/>
    <s v="Television"/>
    <x v="0"/>
    <n v="3"/>
    <n v="28800"/>
    <n v="86400"/>
    <s v="June"/>
    <s v="Sunday"/>
    <b v="1"/>
    <s v="Premium"/>
  </r>
  <r>
    <s v="DUKA-0215"/>
    <s v="2026-01-04"/>
    <x v="7"/>
    <s v="Central"/>
    <s v="HD Television 32in"/>
    <s v="Television"/>
    <x v="0"/>
    <n v="1"/>
    <n v="25600"/>
    <n v="25600"/>
    <s v="January"/>
    <s v="Sunday"/>
    <b v="1"/>
    <s v="Value"/>
  </r>
  <r>
    <s v="DUKA-0216"/>
    <s v="2026-02-13"/>
    <x v="1"/>
    <s v="Capital"/>
    <s v="Smart Watch"/>
    <s v="Wearables"/>
    <x v="1"/>
    <n v="1"/>
    <n v="23600"/>
    <n v="23600"/>
    <s v="February"/>
    <s v="Friday"/>
    <b v="0"/>
    <s v="Value"/>
  </r>
  <r>
    <s v="DUKA-0217"/>
    <s v="2026-03-10"/>
    <x v="3"/>
    <s v="Western"/>
    <s v="Wireless Headphones"/>
    <s v="Audio"/>
    <x v="1"/>
    <n v="1"/>
    <n v="8900"/>
    <n v="8900"/>
    <s v="March"/>
    <s v="Tuesday"/>
    <b v="0"/>
    <s v="Value"/>
  </r>
  <r>
    <s v="DUKA-0218"/>
    <s v="2026-04-19"/>
    <x v="3"/>
    <s v="Western"/>
    <s v="HD Television 32in"/>
    <s v="Television"/>
    <x v="0"/>
    <n v="3"/>
    <n v="26200"/>
    <n v="78600"/>
    <s v="April"/>
    <s v="Sunday"/>
    <b v="1"/>
    <s v="Value"/>
  </r>
  <r>
    <s v="DUKA-0219"/>
    <s v="2026-02-09"/>
    <x v="4"/>
    <s v="Rift Valley"/>
    <s v="Tablet 10in"/>
    <s v="Computing"/>
    <x v="0"/>
    <n v="1"/>
    <n v="27700"/>
    <n v="27700"/>
    <s v="February"/>
    <s v="Monday"/>
    <b v="0"/>
    <s v="Value"/>
  </r>
  <r>
    <s v="DUKA-0220"/>
    <s v="2026-04-25"/>
    <x v="0"/>
    <s v="Coast"/>
    <s v="Chromebook Air"/>
    <s v="Computing"/>
    <x v="1"/>
    <n v="4"/>
    <n v="29500"/>
    <n v="118000"/>
    <s v="April"/>
    <s v="Saturday"/>
    <b v="1"/>
    <s v="Premium"/>
  </r>
  <r>
    <s v="DUKA-0221"/>
    <s v="2026-02-01"/>
    <x v="0"/>
    <s v="Coast"/>
    <s v="Smartphone X"/>
    <s v="Mobile"/>
    <x v="1"/>
    <n v="1"/>
    <n v="41900"/>
    <n v="41900"/>
    <s v="February"/>
    <s v="Sunday"/>
    <b v="1"/>
    <s v="Premium"/>
  </r>
  <r>
    <s v="DUKA-0222"/>
    <s v="2026-06-14"/>
    <x v="5"/>
    <s v="Capital"/>
    <s v="HD Television 32in"/>
    <s v="Television"/>
    <x v="1"/>
    <n v="2"/>
    <n v="27800"/>
    <n v="55600"/>
    <s v="June"/>
    <s v="Sunday"/>
    <b v="1"/>
    <s v="Value"/>
  </r>
  <r>
    <s v="DUKA-0223"/>
    <s v="2026-06-19"/>
    <x v="7"/>
    <s v="Central"/>
    <s v="HD Television 32in"/>
    <s v="Television"/>
    <x v="1"/>
    <n v="1"/>
    <n v="29600"/>
    <n v="29600"/>
    <s v="June"/>
    <s v="Friday"/>
    <b v="0"/>
    <s v="Premium"/>
  </r>
  <r>
    <s v="DUKA-0224"/>
    <s v="2026-01-17"/>
    <x v="4"/>
    <s v="Rift Valley"/>
    <s v="Wireless Headphones"/>
    <s v="Audio"/>
    <x v="1"/>
    <n v="1"/>
    <n v="8200"/>
    <n v="8200"/>
    <s v="January"/>
    <s v="Saturday"/>
    <b v="1"/>
    <s v="Value"/>
  </r>
  <r>
    <s v="DUKA-0225"/>
    <s v="2026-04-21"/>
    <x v="1"/>
    <s v="Capital"/>
    <s v="4K Television 43in"/>
    <s v="Television"/>
    <x v="1"/>
    <n v="2"/>
    <n v="49700"/>
    <n v="99400"/>
    <s v="April"/>
    <s v="Tuesday"/>
    <b v="0"/>
    <s v="Premium"/>
  </r>
  <r>
    <s v="DUKA-0226"/>
    <s v="2026-05-26"/>
    <x v="2"/>
    <s v="Central"/>
    <s v="Wi-Fi Router AX"/>
    <s v="Networking"/>
    <x v="1"/>
    <n v="2"/>
    <n v="11800"/>
    <n v="23600"/>
    <s v="May"/>
    <s v="Tuesday"/>
    <b v="0"/>
    <s v="Value"/>
  </r>
  <r>
    <s v="DUKA-0227"/>
    <s v="2026-03-05"/>
    <x v="4"/>
    <s v="Rift Valley"/>
    <s v="Power Bank 20K"/>
    <s v="Accessories"/>
    <x v="0"/>
    <n v="4"/>
    <n v="4400"/>
    <n v="17600"/>
    <s v="March"/>
    <s v="Thursday"/>
    <b v="0"/>
    <s v="Value"/>
  </r>
  <r>
    <s v="DUKA-0228"/>
    <s v="2026-05-04"/>
    <x v="0"/>
    <s v="Coast"/>
    <s v="Budget Smartphone"/>
    <s v="Mobile"/>
    <x v="0"/>
    <n v="2"/>
    <n v="19300"/>
    <n v="38600"/>
    <s v="May"/>
    <s v="Monday"/>
    <b v="0"/>
    <s v="Value"/>
  </r>
  <r>
    <s v="DUKA-0229"/>
    <s v="2026-05-25"/>
    <x v="0"/>
    <s v="Coast"/>
    <s v="Bluetooth Speaker"/>
    <s v="Audio"/>
    <x v="0"/>
    <n v="1"/>
    <n v="6500"/>
    <n v="6500"/>
    <s v="May"/>
    <s v="Monday"/>
    <b v="0"/>
    <s v="Value"/>
  </r>
  <r>
    <s v="DUKA-0230"/>
    <s v="2026-06-05"/>
    <x v="2"/>
    <s v="Central"/>
    <s v="Chromebook Air"/>
    <s v="Computing"/>
    <x v="0"/>
    <n v="1"/>
    <n v="34500"/>
    <n v="34500"/>
    <s v="June"/>
    <s v="Friday"/>
    <b v="0"/>
    <s v="Premium"/>
  </r>
  <r>
    <s v="DUKA-0231"/>
    <s v="2026-04-16"/>
    <x v="2"/>
    <s v="Central"/>
    <s v="Wireless Headphones"/>
    <s v="Audio"/>
    <x v="1"/>
    <n v="1"/>
    <n v="8400"/>
    <n v="8400"/>
    <s v="April"/>
    <s v="Thursday"/>
    <b v="0"/>
    <s v="Value"/>
  </r>
  <r>
    <s v="DUKA-0232"/>
    <s v="2026-04-21"/>
    <x v="3"/>
    <s v="Western"/>
    <s v="Smartphone X"/>
    <s v="Mobile"/>
    <x v="0"/>
    <n v="2"/>
    <n v="39700"/>
    <n v="79400"/>
    <s v="April"/>
    <s v="Tuesday"/>
    <b v="0"/>
    <s v="Premium"/>
  </r>
  <r>
    <s v="DUKA-0233"/>
    <s v="2026-01-26"/>
    <x v="3"/>
    <s v="Western"/>
    <s v="Bluetooth Speaker"/>
    <s v="Audio"/>
    <x v="1"/>
    <n v="2"/>
    <n v="7300"/>
    <n v="14600"/>
    <s v="January"/>
    <s v="Monday"/>
    <b v="0"/>
    <s v="Value"/>
  </r>
  <r>
    <s v="DUKA-0234"/>
    <s v="2026-03-24"/>
    <x v="6"/>
    <s v="Rift Valley"/>
    <s v="Budget Smartphone"/>
    <s v="Mobile"/>
    <x v="0"/>
    <n v="1"/>
    <n v="17700"/>
    <n v="17700"/>
    <s v="March"/>
    <s v="Tuesday"/>
    <b v="0"/>
    <s v="Value"/>
  </r>
  <r>
    <s v="DUKA-0235"/>
    <s v="2026-05-12"/>
    <x v="1"/>
    <s v="Capital"/>
    <s v="Tablet 10in"/>
    <s v="Computing"/>
    <x v="1"/>
    <n v="1"/>
    <n v="29100"/>
    <n v="29100"/>
    <s v="May"/>
    <s v="Tuesday"/>
    <b v="0"/>
    <s v="Premium"/>
  </r>
  <r>
    <s v="DUKA-0236"/>
    <s v="2026-05-25"/>
    <x v="6"/>
    <s v="Rift Valley"/>
    <s v="4K Television 43in"/>
    <s v="Television"/>
    <x v="1"/>
    <n v="2"/>
    <n v="52700"/>
    <n v="105400"/>
    <s v="May"/>
    <s v="Monday"/>
    <b v="0"/>
    <s v="Premium"/>
  </r>
  <r>
    <s v="DUKA-0237"/>
    <s v="2026-03-04"/>
    <x v="7"/>
    <s v="Central"/>
    <s v="Bluetooth Speaker"/>
    <s v="Audio"/>
    <x v="1"/>
    <n v="1"/>
    <n v="6900"/>
    <n v="6900"/>
    <s v="March"/>
    <s v="Wednesday"/>
    <b v="0"/>
    <s v="Value"/>
  </r>
  <r>
    <s v="DUKA-0238"/>
    <s v="2026-02-21"/>
    <x v="0"/>
    <s v="Coast"/>
    <s v="Laptop Pro 14"/>
    <s v="Computing"/>
    <x v="0"/>
    <n v="1"/>
    <n v="111500"/>
    <n v="111500"/>
    <s v="February"/>
    <s v="Saturday"/>
    <b v="1"/>
    <s v="Premium"/>
  </r>
  <r>
    <s v="DUKA-0239"/>
    <s v="2026-05-10"/>
    <x v="1"/>
    <s v="Capital"/>
    <s v="Tablet 10in"/>
    <s v="Computing"/>
    <x v="1"/>
    <n v="1"/>
    <n v="28000"/>
    <n v="28000"/>
    <s v="May"/>
    <s v="Sunday"/>
    <b v="1"/>
    <s v="Premium"/>
  </r>
  <r>
    <s v="DUKA-0240"/>
    <s v="2026-01-11"/>
    <x v="5"/>
    <s v="Capital"/>
    <s v="4K Television 43in"/>
    <s v="Television"/>
    <x v="1"/>
    <n v="1"/>
    <n v="53700"/>
    <n v="53700"/>
    <s v="January"/>
    <s v="Sunday"/>
    <b v="1"/>
    <s v="Premium"/>
  </r>
  <r>
    <s v="DUKA-0241"/>
    <s v="2026-02-08"/>
    <x v="6"/>
    <s v="Rift Valley"/>
    <s v="Tablet 10in"/>
    <s v="Computing"/>
    <x v="1"/>
    <n v="1"/>
    <n v="29000"/>
    <n v="29000"/>
    <s v="February"/>
    <s v="Sunday"/>
    <b v="1"/>
    <s v="Premium"/>
  </r>
  <r>
    <s v="DUKA-0242"/>
    <s v="2026-05-16"/>
    <x v="0"/>
    <s v="Coast"/>
    <s v="HD Television 32in"/>
    <s v="Television"/>
    <x v="0"/>
    <n v="1"/>
    <n v="28400"/>
    <n v="28400"/>
    <s v="May"/>
    <s v="Saturday"/>
    <b v="1"/>
    <s v="Premium"/>
  </r>
  <r>
    <s v="DUKA-0243"/>
    <s v="2026-05-03"/>
    <x v="0"/>
    <s v="Coast"/>
    <s v="Tablet 10in"/>
    <s v="Computing"/>
    <x v="1"/>
    <n v="2"/>
    <n v="27300"/>
    <n v="54600"/>
    <s v="May"/>
    <s v="Sunday"/>
    <b v="1"/>
    <s v="Value"/>
  </r>
  <r>
    <s v="DUKA-0244"/>
    <s v="2026-05-28"/>
    <x v="6"/>
    <s v="Rift Valley"/>
    <s v="Smart Watch"/>
    <s v="Wearables"/>
    <x v="1"/>
    <n v="1"/>
    <n v="20700"/>
    <n v="20700"/>
    <s v="May"/>
    <s v="Thursday"/>
    <b v="0"/>
    <s v="Value"/>
  </r>
  <r>
    <s v="DUKA-0245"/>
    <s v="2026-05-21"/>
    <x v="7"/>
    <s v="Central"/>
    <s v="Wi-Fi Router AX"/>
    <s v="Networking"/>
    <x v="1"/>
    <n v="2"/>
    <n v="11200"/>
    <n v="22400"/>
    <s v="May"/>
    <s v="Thursday"/>
    <b v="0"/>
    <s v="Value"/>
  </r>
  <r>
    <s v="DUKA-0246"/>
    <s v="2026-05-30"/>
    <x v="6"/>
    <s v="Rift Valley"/>
    <s v="Wireless Headphones"/>
    <s v="Audio"/>
    <x v="1"/>
    <n v="1"/>
    <n v="8300"/>
    <n v="8300"/>
    <s v="May"/>
    <s v="Saturday"/>
    <b v="1"/>
    <s v="Value"/>
  </r>
  <r>
    <s v="DUKA-0247"/>
    <s v="2026-02-28"/>
    <x v="4"/>
    <s v="Rift Valley"/>
    <s v="Power Bank 20K"/>
    <s v="Accessories"/>
    <x v="1"/>
    <n v="4"/>
    <n v="4500"/>
    <n v="18000"/>
    <s v="February"/>
    <s v="Saturday"/>
    <b v="1"/>
    <s v="Value"/>
  </r>
  <r>
    <s v="DUKA-0248"/>
    <s v="2026-03-23"/>
    <x v="3"/>
    <s v="Western"/>
    <s v="Chromebook Air"/>
    <s v="Computing"/>
    <x v="0"/>
    <n v="1"/>
    <n v="33700"/>
    <n v="33700"/>
    <s v="March"/>
    <s v="Monday"/>
    <b v="0"/>
    <s v="Premium"/>
  </r>
  <r>
    <s v="DUKA-0249"/>
    <s v="2026-04-20"/>
    <x v="0"/>
    <s v="Coast"/>
    <s v="Smart Watch"/>
    <s v="Wearables"/>
    <x v="0"/>
    <n v="2"/>
    <n v="21600"/>
    <n v="43200"/>
    <s v="April"/>
    <s v="Monday"/>
    <b v="0"/>
    <s v="Value"/>
  </r>
  <r>
    <s v="DUKA-0250"/>
    <s v="2026-05-13"/>
    <x v="6"/>
    <s v="Rift Valley"/>
    <s v="Chromebook Air"/>
    <s v="Computing"/>
    <x v="0"/>
    <n v="1"/>
    <n v="29900"/>
    <n v="29900"/>
    <s v="May"/>
    <s v="Wednesday"/>
    <b v="0"/>
    <s v="Premium"/>
  </r>
  <r>
    <s v="DUKA-0251"/>
    <s v="2026-03-10"/>
    <x v="1"/>
    <s v="Capital"/>
    <s v="Smartphone X"/>
    <s v="Mobile"/>
    <x v="0"/>
    <n v="1"/>
    <n v="38700"/>
    <n v="38700"/>
    <s v="March"/>
    <s v="Tuesday"/>
    <b v="0"/>
    <s v="Premium"/>
  </r>
  <r>
    <s v="DUKA-0252"/>
    <s v="2026-05-10"/>
    <x v="0"/>
    <s v="Coast"/>
    <s v="Budget Smartphone"/>
    <s v="Mobile"/>
    <x v="1"/>
    <n v="1"/>
    <n v="19200"/>
    <n v="19200"/>
    <s v="May"/>
    <s v="Sunday"/>
    <b v="1"/>
    <s v="Value"/>
  </r>
  <r>
    <s v="DUKA-0253"/>
    <s v="2026-02-02"/>
    <x v="5"/>
    <s v="Capital"/>
    <s v="Bluetooth Speaker"/>
    <s v="Audio"/>
    <x v="1"/>
    <n v="2"/>
    <n v="6900"/>
    <n v="13800"/>
    <s v="February"/>
    <s v="Monday"/>
    <b v="0"/>
    <s v="Value"/>
  </r>
  <r>
    <s v="DUKA-0254"/>
    <s v="2026-02-22"/>
    <x v="0"/>
    <s v="Coast"/>
    <s v="HD Television 32in"/>
    <s v="Television"/>
    <x v="1"/>
    <n v="1"/>
    <n v="28000"/>
    <n v="28000"/>
    <s v="February"/>
    <s v="Sunday"/>
    <b v="1"/>
    <s v="Premium"/>
  </r>
  <r>
    <s v="DUKA-0255"/>
    <s v="2026-05-02"/>
    <x v="7"/>
    <s v="Central"/>
    <s v="Chromebook Air"/>
    <s v="Computing"/>
    <x v="1"/>
    <n v="2"/>
    <n v="33600"/>
    <n v="67200"/>
    <s v="May"/>
    <s v="Saturday"/>
    <b v="1"/>
    <s v="Premium"/>
  </r>
  <r>
    <s v="DUKA-0256"/>
    <s v="2026-05-19"/>
    <x v="6"/>
    <s v="Rift Valley"/>
    <s v="Power Bank 20K"/>
    <s v="Accessories"/>
    <x v="0"/>
    <n v="3"/>
    <n v="4400"/>
    <n v="13200"/>
    <s v="May"/>
    <s v="Tuesday"/>
    <b v="0"/>
    <s v="Value"/>
  </r>
  <r>
    <s v="DUKA-0257"/>
    <s v="2026-01-14"/>
    <x v="0"/>
    <s v="Coast"/>
    <s v="Chromebook Air"/>
    <s v="Computing"/>
    <x v="0"/>
    <n v="4"/>
    <n v="30200"/>
    <n v="120800"/>
    <s v="January"/>
    <s v="Wednesday"/>
    <b v="0"/>
    <s v="Premium"/>
  </r>
  <r>
    <s v="DUKA-0258"/>
    <s v="2026-06-24"/>
    <x v="3"/>
    <s v="Western"/>
    <s v="Bluetooth Speaker"/>
    <s v="Audio"/>
    <x v="0"/>
    <n v="4"/>
    <n v="7000"/>
    <n v="28000"/>
    <s v="June"/>
    <s v="Wednesday"/>
    <b v="0"/>
    <s v="Value"/>
  </r>
  <r>
    <s v="DUKA-0259"/>
    <s v="2026-05-23"/>
    <x v="4"/>
    <s v="Rift Valley"/>
    <s v="Wireless Headphones"/>
    <s v="Audio"/>
    <x v="0"/>
    <n v="1"/>
    <n v="8000"/>
    <n v="8000"/>
    <s v="May"/>
    <s v="Saturday"/>
    <b v="1"/>
    <s v="Value"/>
  </r>
  <r>
    <s v="DUKA-0260"/>
    <s v="2026-03-05"/>
    <x v="4"/>
    <s v="Rift Valley"/>
    <s v="4K Television 43in"/>
    <s v="Television"/>
    <x v="1"/>
    <n v="1"/>
    <n v="54700"/>
    <n v="54700"/>
    <s v="March"/>
    <s v="Thursday"/>
    <b v="0"/>
    <s v="Premium"/>
  </r>
  <r>
    <s v="DUKA-0261"/>
    <s v="2026-04-29"/>
    <x v="0"/>
    <s v="Coast"/>
    <s v="Laptop Pro 14"/>
    <s v="Computing"/>
    <x v="0"/>
    <n v="3"/>
    <n v="112900"/>
    <n v="338700"/>
    <s v="April"/>
    <s v="Wednesday"/>
    <b v="0"/>
    <s v="Premium"/>
  </r>
  <r>
    <s v="DUKA-0262"/>
    <s v="2026-02-19"/>
    <x v="1"/>
    <s v="Capital"/>
    <s v="Tablet 10in"/>
    <s v="Computing"/>
    <x v="0"/>
    <n v="1"/>
    <n v="28000"/>
    <n v="28000"/>
    <s v="February"/>
    <s v="Thursday"/>
    <b v="0"/>
    <s v="Premium"/>
  </r>
  <r>
    <s v="DUKA-0263"/>
    <s v="2026-01-21"/>
    <x v="2"/>
    <s v="Central"/>
    <s v="Tablet 10in"/>
    <s v="Computing"/>
    <x v="1"/>
    <n v="3"/>
    <n v="27300"/>
    <n v="81900"/>
    <s v="January"/>
    <s v="Wednesday"/>
    <b v="0"/>
    <s v="Value"/>
  </r>
  <r>
    <s v="DUKA-0264"/>
    <s v="2026-04-16"/>
    <x v="0"/>
    <s v="Coast"/>
    <s v="Wi-Fi Router AX"/>
    <s v="Networking"/>
    <x v="1"/>
    <n v="1"/>
    <n v="12100"/>
    <n v="12100"/>
    <s v="April"/>
    <s v="Thursday"/>
    <b v="0"/>
    <s v="Value"/>
  </r>
  <r>
    <s v="DUKA-0265"/>
    <s v="2026-06-12"/>
    <x v="6"/>
    <s v="Rift Valley"/>
    <s v="4K Television 43in"/>
    <s v="Television"/>
    <x v="1"/>
    <n v="1"/>
    <n v="55900"/>
    <n v="55900"/>
    <s v="June"/>
    <s v="Friday"/>
    <b v="0"/>
    <s v="Premium"/>
  </r>
  <r>
    <s v="DUKA-0266"/>
    <s v="2026-06-08"/>
    <x v="3"/>
    <s v="Western"/>
    <s v="Wi-Fi Router AX"/>
    <s v="Networking"/>
    <x v="1"/>
    <n v="1"/>
    <n v="12200"/>
    <n v="12200"/>
    <s v="June"/>
    <s v="Monday"/>
    <b v="0"/>
    <s v="Value"/>
  </r>
  <r>
    <s v="DUKA-0267"/>
    <s v="2026-01-15"/>
    <x v="2"/>
    <s v="Central"/>
    <s v="Bluetooth Speaker"/>
    <s v="Audio"/>
    <x v="1"/>
    <n v="1"/>
    <n v="6700"/>
    <n v="6700"/>
    <s v="January"/>
    <s v="Thursday"/>
    <b v="0"/>
    <s v="Value"/>
  </r>
  <r>
    <s v="DUKA-0268"/>
    <s v="2026-04-21"/>
    <x v="4"/>
    <s v="Rift Valley"/>
    <s v="Smart Watch"/>
    <s v="Wearables"/>
    <x v="1"/>
    <n v="1"/>
    <n v="21800"/>
    <n v="21800"/>
    <s v="April"/>
    <s v="Tuesday"/>
    <b v="0"/>
    <s v="Value"/>
  </r>
  <r>
    <s v="DUKA-0269"/>
    <s v="2026-01-14"/>
    <x v="6"/>
    <s v="Rift Valley"/>
    <s v="Smartphone X"/>
    <s v="Mobile"/>
    <x v="1"/>
    <n v="1"/>
    <n v="43900"/>
    <n v="43900"/>
    <s v="January"/>
    <s v="Wednesday"/>
    <b v="0"/>
    <s v="Premium"/>
  </r>
  <r>
    <s v="DUKA-0270"/>
    <s v="2026-06-25"/>
    <x v="6"/>
    <s v="Rift Valley"/>
    <s v="Laptop Pro 14"/>
    <s v="Computing"/>
    <x v="0"/>
    <n v="1"/>
    <n v="110000"/>
    <n v="110000"/>
    <s v="June"/>
    <s v="Thursday"/>
    <b v="0"/>
    <s v="Premium"/>
  </r>
  <r>
    <s v="DUKA-0271"/>
    <s v="2026-03-16"/>
    <x v="7"/>
    <s v="Central"/>
    <s v="Bluetooth Speaker"/>
    <s v="Audio"/>
    <x v="1"/>
    <n v="3"/>
    <n v="7000"/>
    <n v="21000"/>
    <s v="March"/>
    <s v="Monday"/>
    <b v="0"/>
    <s v="Value"/>
  </r>
  <r>
    <s v="DUKA-0272"/>
    <s v="2026-06-16"/>
    <x v="5"/>
    <s v="Capital"/>
    <s v="HD Television 32in"/>
    <s v="Television"/>
    <x v="1"/>
    <n v="3"/>
    <n v="28200"/>
    <n v="84600"/>
    <s v="June"/>
    <s v="Tuesday"/>
    <b v="0"/>
    <s v="Premium"/>
  </r>
  <r>
    <s v="DUKA-0273"/>
    <s v="2026-04-03"/>
    <x v="5"/>
    <s v="Capital"/>
    <s v="Wi-Fi Router AX"/>
    <s v="Networking"/>
    <x v="1"/>
    <n v="1"/>
    <n v="12700"/>
    <n v="12700"/>
    <s v="April"/>
    <s v="Friday"/>
    <b v="0"/>
    <s v="Value"/>
  </r>
  <r>
    <s v="DUKA-0274"/>
    <s v="2026-05-09"/>
    <x v="4"/>
    <s v="Rift Valley"/>
    <s v="Wi-Fi Router AX"/>
    <s v="Networking"/>
    <x v="0"/>
    <n v="1"/>
    <n v="11700"/>
    <n v="11700"/>
    <s v="May"/>
    <s v="Saturday"/>
    <b v="1"/>
    <s v="Value"/>
  </r>
  <r>
    <s v="DUKA-0275"/>
    <s v="2026-01-03"/>
    <x v="5"/>
    <s v="Capital"/>
    <s v="Tablet 10in"/>
    <s v="Computing"/>
    <x v="0"/>
    <n v="1"/>
    <n v="30700"/>
    <n v="30700"/>
    <s v="January"/>
    <s v="Saturday"/>
    <b v="1"/>
    <s v="Premium"/>
  </r>
  <r>
    <s v="DUKA-0276"/>
    <s v="2026-05-08"/>
    <x v="7"/>
    <s v="Central"/>
    <s v="Smart Watch"/>
    <s v="Wearables"/>
    <x v="1"/>
    <n v="2"/>
    <n v="21100"/>
    <n v="42200"/>
    <s v="May"/>
    <s v="Friday"/>
    <b v="0"/>
    <s v="Value"/>
  </r>
  <r>
    <s v="DUKA-0277"/>
    <s v="2026-04-19"/>
    <x v="2"/>
    <s v="Central"/>
    <s v="Smart Watch"/>
    <s v="Wearables"/>
    <x v="1"/>
    <n v="2"/>
    <n v="21100"/>
    <n v="42200"/>
    <s v="April"/>
    <s v="Sunday"/>
    <b v="1"/>
    <s v="Value"/>
  </r>
  <r>
    <s v="DUKA-0278"/>
    <s v="2026-02-02"/>
    <x v="0"/>
    <s v="Coast"/>
    <s v="Wireless Headphones"/>
    <s v="Audio"/>
    <x v="1"/>
    <n v="1"/>
    <n v="8800"/>
    <n v="8800"/>
    <s v="February"/>
    <s v="Monday"/>
    <b v="0"/>
    <s v="Value"/>
  </r>
  <r>
    <s v="DUKA-0279"/>
    <s v="2026-03-23"/>
    <x v="5"/>
    <s v="Capital"/>
    <s v="Wi-Fi Router AX"/>
    <s v="Networking"/>
    <x v="0"/>
    <n v="4"/>
    <n v="12400"/>
    <n v="49600"/>
    <s v="March"/>
    <s v="Monday"/>
    <b v="0"/>
    <s v="Value"/>
  </r>
  <r>
    <s v="DUKA-0280"/>
    <s v="2026-03-03"/>
    <x v="7"/>
    <s v="Central"/>
    <s v="Wi-Fi Router AX"/>
    <s v="Networking"/>
    <x v="0"/>
    <n v="1"/>
    <n v="12700"/>
    <n v="12700"/>
    <s v="March"/>
    <s v="Tuesday"/>
    <b v="0"/>
    <s v="Value"/>
  </r>
  <r>
    <s v="DUKA-0281"/>
    <s v="2026-01-06"/>
    <x v="1"/>
    <s v="Capital"/>
    <s v="HD Television 32in"/>
    <s v="Television"/>
    <x v="1"/>
    <n v="4"/>
    <n v="29700"/>
    <n v="118800"/>
    <s v="January"/>
    <s v="Tuesday"/>
    <b v="0"/>
    <s v="Premium"/>
  </r>
  <r>
    <s v="DUKA-0282"/>
    <s v="2026-05-27"/>
    <x v="5"/>
    <s v="Capital"/>
    <s v="HD Television 32in"/>
    <s v="Television"/>
    <x v="1"/>
    <n v="4"/>
    <n v="29700"/>
    <n v="118800"/>
    <s v="May"/>
    <s v="Wednesday"/>
    <b v="0"/>
    <s v="Premium"/>
  </r>
  <r>
    <s v="DUKA-0283"/>
    <s v="2026-05-03"/>
    <x v="3"/>
    <s v="Western"/>
    <s v="4K Television 43in"/>
    <s v="Television"/>
    <x v="1"/>
    <n v="2"/>
    <n v="51100"/>
    <n v="102200"/>
    <s v="May"/>
    <s v="Sunday"/>
    <b v="1"/>
    <s v="Premium"/>
  </r>
  <r>
    <s v="DUKA-0284"/>
    <s v="2026-03-14"/>
    <x v="5"/>
    <s v="Capital"/>
    <s v="Wireless Headphones"/>
    <s v="Audio"/>
    <x v="1"/>
    <n v="1"/>
    <n v="7900"/>
    <n v="7900"/>
    <s v="March"/>
    <s v="Saturday"/>
    <b v="1"/>
    <s v="Value"/>
  </r>
  <r>
    <s v="DUKA-0285"/>
    <s v="2026-02-25"/>
    <x v="1"/>
    <s v="Capital"/>
    <s v="Budget Smartphone"/>
    <s v="Mobile"/>
    <x v="0"/>
    <n v="1"/>
    <n v="17900"/>
    <n v="17900"/>
    <s v="February"/>
    <s v="Wednesday"/>
    <b v="0"/>
    <s v="Value"/>
  </r>
  <r>
    <s v="DUKA-0286"/>
    <s v="2026-02-11"/>
    <x v="6"/>
    <s v="Rift Valley"/>
    <s v="Budget Smartphone"/>
    <s v="Mobile"/>
    <x v="0"/>
    <n v="2"/>
    <n v="17700"/>
    <n v="35400"/>
    <s v="February"/>
    <s v="Wednesday"/>
    <b v="0"/>
    <s v="Value"/>
  </r>
  <r>
    <s v="DUKA-0287"/>
    <s v="2026-05-18"/>
    <x v="4"/>
    <s v="Rift Valley"/>
    <s v="Smartphone X"/>
    <s v="Mobile"/>
    <x v="0"/>
    <n v="4"/>
    <n v="45200"/>
    <n v="180800"/>
    <s v="May"/>
    <s v="Monday"/>
    <b v="0"/>
    <s v="Premium"/>
  </r>
  <r>
    <s v="DUKA-0288"/>
    <s v="2026-01-12"/>
    <x v="5"/>
    <s v="Capital"/>
    <s v="Wireless Headphones"/>
    <s v="Audio"/>
    <x v="1"/>
    <n v="2"/>
    <n v="9100"/>
    <n v="18200"/>
    <s v="January"/>
    <s v="Monday"/>
    <b v="0"/>
    <s v="Value"/>
  </r>
  <r>
    <s v="DUKA-0289"/>
    <s v="2026-04-04"/>
    <x v="5"/>
    <s v="Capital"/>
    <s v="Wireless Headphones"/>
    <s v="Audio"/>
    <x v="1"/>
    <n v="2"/>
    <n v="8500"/>
    <n v="17000"/>
    <s v="April"/>
    <s v="Saturday"/>
    <b v="1"/>
    <s v="Value"/>
  </r>
  <r>
    <s v="DUKA-0290"/>
    <s v="2026-02-10"/>
    <x v="2"/>
    <s v="Central"/>
    <s v="Tablet 10in"/>
    <s v="Computing"/>
    <x v="1"/>
    <n v="1"/>
    <n v="27900"/>
    <n v="27900"/>
    <s v="February"/>
    <s v="Tuesday"/>
    <b v="0"/>
    <s v="Value"/>
  </r>
  <r>
    <s v="DUKA-0291"/>
    <s v="2026-01-14"/>
    <x v="5"/>
    <s v="Capital"/>
    <s v="Laptop Pro 14"/>
    <s v="Computing"/>
    <x v="0"/>
    <n v="2"/>
    <n v="108600"/>
    <n v="217200"/>
    <s v="January"/>
    <s v="Wednesday"/>
    <b v="0"/>
    <s v="Premium"/>
  </r>
  <r>
    <s v="DUKA-0292"/>
    <s v="2026-04-15"/>
    <x v="0"/>
    <s v="Coast"/>
    <s v="Laptop Pro 14"/>
    <s v="Computing"/>
    <x v="0"/>
    <n v="1"/>
    <n v="121200"/>
    <n v="121200"/>
    <s v="April"/>
    <s v="Wednesday"/>
    <b v="0"/>
    <s v="Premium"/>
  </r>
  <r>
    <s v="DUKA-0293"/>
    <s v="2026-02-20"/>
    <x v="6"/>
    <s v="Rift Valley"/>
    <s v="Smartphone X"/>
    <s v="Mobile"/>
    <x v="0"/>
    <n v="1"/>
    <n v="43600"/>
    <n v="43600"/>
    <s v="February"/>
    <s v="Friday"/>
    <b v="0"/>
    <s v="Premium"/>
  </r>
  <r>
    <s v="DUKA-0294"/>
    <s v="2026-06-17"/>
    <x v="5"/>
    <s v="Capital"/>
    <s v="Budget Smartphone"/>
    <s v="Mobile"/>
    <x v="0"/>
    <n v="2"/>
    <n v="17100"/>
    <n v="34200"/>
    <s v="June"/>
    <s v="Wednesday"/>
    <b v="0"/>
    <s v="Value"/>
  </r>
  <r>
    <s v="DUKA-0295"/>
    <s v="2026-05-09"/>
    <x v="2"/>
    <s v="Central"/>
    <s v="HD Television 32in"/>
    <s v="Television"/>
    <x v="1"/>
    <n v="1"/>
    <n v="26600"/>
    <n v="26600"/>
    <s v="May"/>
    <s v="Saturday"/>
    <b v="1"/>
    <s v="Value"/>
  </r>
  <r>
    <s v="DUKA-0296"/>
    <s v="2026-03-12"/>
    <x v="6"/>
    <s v="Rift Valley"/>
    <s v="Wireless Headphones"/>
    <s v="Audio"/>
    <x v="1"/>
    <n v="1"/>
    <n v="8900"/>
    <n v="8900"/>
    <s v="March"/>
    <s v="Thursday"/>
    <b v="0"/>
    <s v="Value"/>
  </r>
  <r>
    <s v="DUKA-0297"/>
    <s v="2026-06-28"/>
    <x v="7"/>
    <s v="Central"/>
    <s v="HD Television 32in"/>
    <s v="Television"/>
    <x v="1"/>
    <n v="2"/>
    <n v="26900"/>
    <n v="53800"/>
    <s v="June"/>
    <s v="Sunday"/>
    <b v="1"/>
    <s v="Value"/>
  </r>
  <r>
    <s v="DUKA-0298"/>
    <s v="2026-05-23"/>
    <x v="6"/>
    <s v="Rift Valley"/>
    <s v="Budget Smartphone"/>
    <s v="Mobile"/>
    <x v="1"/>
    <n v="1"/>
    <n v="19300"/>
    <n v="19300"/>
    <s v="May"/>
    <s v="Saturday"/>
    <b v="1"/>
    <s v="Value"/>
  </r>
  <r>
    <s v="DUKA-0299"/>
    <s v="2026-04-01"/>
    <x v="4"/>
    <s v="Rift Valley"/>
    <s v="Power Bank 20K"/>
    <s v="Accessories"/>
    <x v="1"/>
    <n v="2"/>
    <n v="4200"/>
    <n v="8400"/>
    <s v="April"/>
    <s v="Wednesday"/>
    <b v="0"/>
    <s v="Value"/>
  </r>
  <r>
    <s v="DUKA-0300"/>
    <s v="2026-01-24"/>
    <x v="4"/>
    <s v="Rift Valley"/>
    <s v="Chromebook Air"/>
    <s v="Computing"/>
    <x v="0"/>
    <n v="3"/>
    <n v="32200"/>
    <n v="96600"/>
    <s v="January"/>
    <s v="Saturday"/>
    <b v="1"/>
    <s v="Premium"/>
  </r>
  <r>
    <s v="DUKA-0301"/>
    <s v="2026-01-14"/>
    <x v="5"/>
    <s v="Capital"/>
    <s v="Smartphone X"/>
    <s v="Mobile"/>
    <x v="0"/>
    <n v="1"/>
    <n v="39400"/>
    <n v="39400"/>
    <s v="January"/>
    <s v="Wednesday"/>
    <b v="0"/>
    <s v="Premium"/>
  </r>
  <r>
    <s v="DUKA-0302"/>
    <s v="2026-05-29"/>
    <x v="4"/>
    <s v="Rift Valley"/>
    <s v="Smart Watch"/>
    <s v="Wearables"/>
    <x v="1"/>
    <n v="2"/>
    <n v="21200"/>
    <n v="42400"/>
    <s v="May"/>
    <s v="Friday"/>
    <b v="0"/>
    <s v="Value"/>
  </r>
  <r>
    <s v="DUKA-0303"/>
    <s v="2026-03-27"/>
    <x v="3"/>
    <s v="Western"/>
    <s v="Wireless Headphones"/>
    <s v="Audio"/>
    <x v="0"/>
    <n v="2"/>
    <n v="7800"/>
    <n v="15600"/>
    <s v="March"/>
    <s v="Friday"/>
    <b v="0"/>
    <s v="Value"/>
  </r>
  <r>
    <s v="DUKA-0304"/>
    <s v="2026-06-17"/>
    <x v="4"/>
    <s v="Rift Valley"/>
    <s v="Chromebook Air"/>
    <s v="Computing"/>
    <x v="0"/>
    <n v="2"/>
    <n v="30300"/>
    <n v="60600"/>
    <s v="June"/>
    <s v="Wednesday"/>
    <b v="0"/>
    <s v="Premium"/>
  </r>
  <r>
    <s v="DUKA-0305"/>
    <s v="2026-03-29"/>
    <x v="4"/>
    <s v="Rift Valley"/>
    <s v="Smartphone X"/>
    <s v="Mobile"/>
    <x v="0"/>
    <n v="2"/>
    <n v="43900"/>
    <n v="87800"/>
    <s v="March"/>
    <s v="Sunday"/>
    <b v="1"/>
    <s v="Premium"/>
  </r>
  <r>
    <s v="DUKA-0306"/>
    <s v="2026-04-01"/>
    <x v="0"/>
    <s v="Coast"/>
    <s v="HD Television 32in"/>
    <s v="Television"/>
    <x v="1"/>
    <n v="1"/>
    <n v="26300"/>
    <n v="26300"/>
    <s v="April"/>
    <s v="Wednesday"/>
    <b v="0"/>
    <s v="Value"/>
  </r>
  <r>
    <s v="DUKA-0307"/>
    <s v="2026-05-30"/>
    <x v="1"/>
    <s v="Capital"/>
    <s v="Chromebook Air"/>
    <s v="Computing"/>
    <x v="1"/>
    <n v="3"/>
    <n v="29500"/>
    <n v="88500"/>
    <s v="May"/>
    <s v="Saturday"/>
    <b v="1"/>
    <s v="Premium"/>
  </r>
  <r>
    <s v="DUKA-0308"/>
    <s v="2026-03-24"/>
    <x v="1"/>
    <s v="Capital"/>
    <s v="Laptop Pro 14"/>
    <s v="Computing"/>
    <x v="1"/>
    <n v="1"/>
    <n v="117000"/>
    <n v="117000"/>
    <s v="March"/>
    <s v="Tuesday"/>
    <b v="0"/>
    <s v="Premium"/>
  </r>
  <r>
    <s v="DUKA-0309"/>
    <s v="2026-04-05"/>
    <x v="0"/>
    <s v="Coast"/>
    <s v="Wi-Fi Router AX"/>
    <s v="Networking"/>
    <x v="1"/>
    <n v="1"/>
    <n v="12800"/>
    <n v="12800"/>
    <s v="April"/>
    <s v="Sunday"/>
    <b v="1"/>
    <s v="Value"/>
  </r>
  <r>
    <s v="DUKA-0310"/>
    <s v="2026-06-14"/>
    <x v="3"/>
    <s v="Western"/>
    <s v="Wi-Fi Router AX"/>
    <s v="Networking"/>
    <x v="1"/>
    <n v="1"/>
    <n v="11300"/>
    <n v="11300"/>
    <s v="June"/>
    <s v="Sunday"/>
    <b v="1"/>
    <s v="Value"/>
  </r>
  <r>
    <s v="DUKA-0311"/>
    <s v="2026-02-13"/>
    <x v="7"/>
    <s v="Central"/>
    <s v="Budget Smartphone"/>
    <s v="Mobile"/>
    <x v="0"/>
    <n v="1"/>
    <n v="18700"/>
    <n v="18700"/>
    <s v="February"/>
    <s v="Friday"/>
    <b v="0"/>
    <s v="Value"/>
  </r>
  <r>
    <s v="DUKA-0312"/>
    <s v="2026-02-11"/>
    <x v="4"/>
    <s v="Rift Valley"/>
    <s v="Budget Smartphone"/>
    <s v="Mobile"/>
    <x v="0"/>
    <n v="2"/>
    <n v="18700"/>
    <n v="37400"/>
    <s v="February"/>
    <s v="Wednesday"/>
    <b v="0"/>
    <s v="Value"/>
  </r>
  <r>
    <s v="DUKA-0313"/>
    <s v="2026-06-18"/>
    <x v="4"/>
    <s v="Rift Valley"/>
    <s v="Laptop Pro 14"/>
    <s v="Computing"/>
    <x v="1"/>
    <n v="5"/>
    <n v="120100"/>
    <n v="600500"/>
    <s v="June"/>
    <s v="Thursday"/>
    <b v="0"/>
    <s v="Premium"/>
  </r>
  <r>
    <s v="DUKA-0314"/>
    <s v="2026-06-16"/>
    <x v="4"/>
    <s v="Rift Valley"/>
    <s v="Power Bank 20K"/>
    <s v="Accessories"/>
    <x v="1"/>
    <n v="1"/>
    <n v="4400"/>
    <n v="4400"/>
    <s v="June"/>
    <s v="Tuesday"/>
    <b v="0"/>
    <s v="Value"/>
  </r>
  <r>
    <s v="DUKA-0315"/>
    <s v="2026-06-27"/>
    <x v="7"/>
    <s v="Central"/>
    <s v="Chromebook Air"/>
    <s v="Computing"/>
    <x v="1"/>
    <n v="1"/>
    <n v="30100"/>
    <n v="30100"/>
    <s v="June"/>
    <s v="Saturday"/>
    <b v="1"/>
    <s v="Premium"/>
  </r>
  <r>
    <s v="DUKA-0316"/>
    <s v="2026-06-16"/>
    <x v="0"/>
    <s v="Coast"/>
    <s v="Bluetooth Speaker"/>
    <s v="Audio"/>
    <x v="1"/>
    <n v="1"/>
    <n v="7200"/>
    <n v="7200"/>
    <s v="June"/>
    <s v="Tuesday"/>
    <b v="0"/>
    <s v="Value"/>
  </r>
  <r>
    <s v="DUKA-0317"/>
    <s v="2026-01-04"/>
    <x v="6"/>
    <s v="Rift Valley"/>
    <s v="Budget Smartphone"/>
    <s v="Mobile"/>
    <x v="0"/>
    <n v="2"/>
    <n v="19000"/>
    <n v="38000"/>
    <s v="January"/>
    <s v="Sunday"/>
    <b v="1"/>
    <s v="Value"/>
  </r>
  <r>
    <s v="DUKA-0318"/>
    <s v="2026-06-23"/>
    <x v="3"/>
    <s v="Western"/>
    <s v="Laptop Pro 14"/>
    <s v="Computing"/>
    <x v="1"/>
    <n v="2"/>
    <n v="118000"/>
    <n v="236000"/>
    <s v="June"/>
    <s v="Tuesday"/>
    <b v="0"/>
    <s v="Premium"/>
  </r>
  <r>
    <s v="DUKA-0319"/>
    <s v="2026-01-29"/>
    <x v="1"/>
    <s v="Capital"/>
    <s v="HD Television 32in"/>
    <s v="Television"/>
    <x v="1"/>
    <n v="1"/>
    <n v="25700"/>
    <n v="25700"/>
    <s v="January"/>
    <s v="Thursday"/>
    <b v="0"/>
    <s v="Value"/>
  </r>
  <r>
    <s v="DUKA-0320"/>
    <s v="2026-06-11"/>
    <x v="7"/>
    <s v="Central"/>
    <s v="Power Bank 20K"/>
    <s v="Accessories"/>
    <x v="1"/>
    <n v="5"/>
    <n v="4400"/>
    <n v="22000"/>
    <s v="June"/>
    <s v="Thursday"/>
    <b v="0"/>
    <s v="Value"/>
  </r>
  <r>
    <s v="DUKA-0321"/>
    <s v="2026-05-05"/>
    <x v="5"/>
    <s v="Capital"/>
    <s v="Smart Watch"/>
    <s v="Wearables"/>
    <x v="0"/>
    <n v="2"/>
    <n v="21300"/>
    <n v="42600"/>
    <s v="May"/>
    <s v="Tuesday"/>
    <b v="0"/>
    <s v="Value"/>
  </r>
  <r>
    <s v="DUKA-0322"/>
    <s v="2026-04-06"/>
    <x v="0"/>
    <s v="Coast"/>
    <s v="4K Television 43in"/>
    <s v="Television"/>
    <x v="0"/>
    <n v="1"/>
    <n v="53700"/>
    <n v="53700"/>
    <s v="April"/>
    <s v="Monday"/>
    <b v="0"/>
    <s v="Premium"/>
  </r>
  <r>
    <s v="DUKA-0323"/>
    <s v="2026-03-24"/>
    <x v="7"/>
    <s v="Central"/>
    <s v="Chromebook Air"/>
    <s v="Computing"/>
    <x v="1"/>
    <n v="4"/>
    <n v="33100"/>
    <n v="132400"/>
    <s v="March"/>
    <s v="Tuesday"/>
    <b v="0"/>
    <s v="Premium"/>
  </r>
  <r>
    <s v="DUKA-0324"/>
    <s v="2026-05-04"/>
    <x v="1"/>
    <s v="Capital"/>
    <s v="Bluetooth Speaker"/>
    <s v="Audio"/>
    <x v="1"/>
    <n v="1"/>
    <n v="7300"/>
    <n v="7300"/>
    <s v="May"/>
    <s v="Monday"/>
    <b v="0"/>
    <s v="Value"/>
  </r>
  <r>
    <s v="DUKA-0325"/>
    <s v="2026-04-29"/>
    <x v="3"/>
    <s v="Western"/>
    <s v="Budget Smartphone"/>
    <s v="Mobile"/>
    <x v="1"/>
    <n v="1"/>
    <n v="19600"/>
    <n v="19600"/>
    <s v="April"/>
    <s v="Wednesday"/>
    <b v="0"/>
    <s v="Value"/>
  </r>
  <r>
    <s v="DUKA-0326"/>
    <s v="2026-04-07"/>
    <x v="3"/>
    <s v="Western"/>
    <s v="Laptop Pro 14"/>
    <s v="Computing"/>
    <x v="1"/>
    <n v="1"/>
    <n v="115300"/>
    <n v="115300"/>
    <s v="April"/>
    <s v="Tuesday"/>
    <b v="0"/>
    <s v="Premium"/>
  </r>
  <r>
    <s v="DUKA-0327"/>
    <s v="2026-01-15"/>
    <x v="4"/>
    <s v="Rift Valley"/>
    <s v="Bluetooth Speaker"/>
    <s v="Audio"/>
    <x v="0"/>
    <n v="3"/>
    <n v="6500"/>
    <n v="19500"/>
    <s v="January"/>
    <s v="Thursday"/>
    <b v="0"/>
    <s v="Value"/>
  </r>
  <r>
    <s v="DUKA-0328"/>
    <s v="2026-02-24"/>
    <x v="6"/>
    <s v="Rift Valley"/>
    <s v="Power Bank 20K"/>
    <s v="Accessories"/>
    <x v="1"/>
    <n v="5"/>
    <n v="4800"/>
    <n v="24000"/>
    <s v="February"/>
    <s v="Tuesday"/>
    <b v="0"/>
    <s v="Value"/>
  </r>
  <r>
    <s v="DUKA-0329"/>
    <s v="2026-02-02"/>
    <x v="4"/>
    <s v="Rift Valley"/>
    <s v="Chromebook Air"/>
    <s v="Computing"/>
    <x v="1"/>
    <n v="1"/>
    <n v="33800"/>
    <n v="33800"/>
    <s v="February"/>
    <s v="Monday"/>
    <b v="0"/>
    <s v="Premium"/>
  </r>
  <r>
    <s v="DUKA-0330"/>
    <s v="2026-06-29"/>
    <x v="0"/>
    <s v="Coast"/>
    <s v="Wireless Headphones"/>
    <s v="Audio"/>
    <x v="1"/>
    <n v="1"/>
    <n v="8100"/>
    <n v="8100"/>
    <s v="June"/>
    <s v="Monday"/>
    <b v="0"/>
    <s v="Value"/>
  </r>
  <r>
    <s v="DUKA-0331"/>
    <s v="2026-06-02"/>
    <x v="2"/>
    <s v="Central"/>
    <s v="Smartphone X"/>
    <s v="Mobile"/>
    <x v="0"/>
    <n v="1"/>
    <n v="39200"/>
    <n v="39200"/>
    <s v="June"/>
    <s v="Tuesday"/>
    <b v="0"/>
    <s v="Premium"/>
  </r>
  <r>
    <s v="DUKA-0332"/>
    <s v="2026-01-05"/>
    <x v="7"/>
    <s v="Central"/>
    <s v="Smartphone X"/>
    <s v="Mobile"/>
    <x v="1"/>
    <n v="1"/>
    <n v="44200"/>
    <n v="44200"/>
    <s v="January"/>
    <s v="Monday"/>
    <b v="0"/>
    <s v="Premium"/>
  </r>
  <r>
    <s v="DUKA-0333"/>
    <s v="2026-04-23"/>
    <x v="5"/>
    <s v="Capital"/>
    <s v="4K Television 43in"/>
    <s v="Television"/>
    <x v="1"/>
    <n v="3"/>
    <n v="54400"/>
    <n v="163200"/>
    <s v="April"/>
    <s v="Thursday"/>
    <b v="0"/>
    <s v="Premium"/>
  </r>
  <r>
    <s v="DUKA-0334"/>
    <s v="2026-02-15"/>
    <x v="5"/>
    <s v="Capital"/>
    <s v="Tablet 10in"/>
    <s v="Computing"/>
    <x v="1"/>
    <n v="1"/>
    <n v="27300"/>
    <n v="27300"/>
    <s v="February"/>
    <s v="Sunday"/>
    <b v="1"/>
    <s v="Value"/>
  </r>
  <r>
    <s v="DUKA-0335"/>
    <s v="2026-04-02"/>
    <x v="7"/>
    <s v="Central"/>
    <s v="4K Television 43in"/>
    <s v="Television"/>
    <x v="0"/>
    <n v="1"/>
    <n v="51100"/>
    <n v="51100"/>
    <s v="April"/>
    <s v="Thursday"/>
    <b v="0"/>
    <s v="Premium"/>
  </r>
  <r>
    <s v="DUKA-0336"/>
    <s v="2026-06-18"/>
    <x v="1"/>
    <s v="Capital"/>
    <s v="Smartphone X"/>
    <s v="Mobile"/>
    <x v="1"/>
    <n v="1"/>
    <n v="43700"/>
    <n v="43700"/>
    <s v="June"/>
    <s v="Thursday"/>
    <b v="0"/>
    <s v="Premium"/>
  </r>
  <r>
    <s v="DUKA-0337"/>
    <s v="2026-04-17"/>
    <x v="3"/>
    <s v="Western"/>
    <s v="4K Television 43in"/>
    <s v="Television"/>
    <x v="1"/>
    <n v="1"/>
    <n v="56100"/>
    <n v="56100"/>
    <s v="April"/>
    <s v="Friday"/>
    <b v="0"/>
    <s v="Premium"/>
  </r>
  <r>
    <s v="DUKA-0338"/>
    <s v="2026-06-22"/>
    <x v="7"/>
    <s v="Central"/>
    <s v="Budget Smartphone"/>
    <s v="Mobile"/>
    <x v="1"/>
    <n v="1"/>
    <n v="19000"/>
    <n v="19000"/>
    <s v="June"/>
    <s v="Monday"/>
    <b v="0"/>
    <s v="Value"/>
  </r>
  <r>
    <s v="DUKA-0339"/>
    <s v="2026-02-28"/>
    <x v="7"/>
    <s v="Central"/>
    <s v="Wi-Fi Router AX"/>
    <s v="Networking"/>
    <x v="1"/>
    <n v="2"/>
    <n v="11300"/>
    <n v="22600"/>
    <s v="February"/>
    <s v="Saturday"/>
    <b v="1"/>
    <s v="Value"/>
  </r>
  <r>
    <s v="DUKA-0340"/>
    <s v="2026-02-20"/>
    <x v="0"/>
    <s v="Coast"/>
    <s v="Bluetooth Speaker"/>
    <s v="Audio"/>
    <x v="1"/>
    <n v="2"/>
    <n v="7300"/>
    <n v="14600"/>
    <s v="February"/>
    <s v="Friday"/>
    <b v="0"/>
    <s v="Value"/>
  </r>
  <r>
    <s v="DUKA-0341"/>
    <s v="2026-06-02"/>
    <x v="3"/>
    <s v="Western"/>
    <s v="Wireless Headphones"/>
    <s v="Audio"/>
    <x v="0"/>
    <n v="1"/>
    <n v="8700"/>
    <n v="8700"/>
    <s v="June"/>
    <s v="Tuesday"/>
    <b v="0"/>
    <s v="Value"/>
  </r>
  <r>
    <s v="DUKA-0342"/>
    <s v="2026-06-30"/>
    <x v="7"/>
    <s v="Central"/>
    <s v="Laptop Pro 14"/>
    <s v="Computing"/>
    <x v="0"/>
    <n v="1"/>
    <n v="113300"/>
    <n v="113300"/>
    <s v="June"/>
    <s v="Tuesday"/>
    <b v="0"/>
    <s v="Premium"/>
  </r>
  <r>
    <s v="DUKA-0343"/>
    <s v="2026-04-29"/>
    <x v="7"/>
    <s v="Central"/>
    <s v="Laptop Pro 14"/>
    <s v="Computing"/>
    <x v="0"/>
    <n v="1"/>
    <n v="119400"/>
    <n v="119400"/>
    <s v="April"/>
    <s v="Wednesday"/>
    <b v="0"/>
    <s v="Premium"/>
  </r>
  <r>
    <s v="DUKA-0344"/>
    <s v="2026-05-28"/>
    <x v="2"/>
    <s v="Central"/>
    <s v="Wireless Headphones"/>
    <s v="Audio"/>
    <x v="1"/>
    <n v="1"/>
    <n v="8700"/>
    <n v="8700"/>
    <s v="May"/>
    <s v="Thursday"/>
    <b v="0"/>
    <s v="Value"/>
  </r>
  <r>
    <s v="DUKA-0345"/>
    <s v="2026-03-14"/>
    <x v="6"/>
    <s v="Rift Valley"/>
    <s v="Bluetooth Speaker"/>
    <s v="Audio"/>
    <x v="1"/>
    <n v="1"/>
    <n v="7100"/>
    <n v="7100"/>
    <s v="March"/>
    <s v="Saturday"/>
    <b v="1"/>
    <s v="Value"/>
  </r>
  <r>
    <s v="DUKA-0346"/>
    <s v="2026-05-21"/>
    <x v="3"/>
    <s v="Western"/>
    <s v="4K Television 43in"/>
    <s v="Television"/>
    <x v="0"/>
    <n v="3"/>
    <n v="52300"/>
    <n v="156900"/>
    <s v="May"/>
    <s v="Thursday"/>
    <b v="0"/>
    <s v="Premium"/>
  </r>
  <r>
    <s v="DUKA-0347"/>
    <s v="2026-02-02"/>
    <x v="5"/>
    <s v="Capital"/>
    <s v="Wi-Fi Router AX"/>
    <s v="Networking"/>
    <x v="1"/>
    <n v="1"/>
    <n v="11300"/>
    <n v="11300"/>
    <s v="February"/>
    <s v="Monday"/>
    <b v="0"/>
    <s v="Value"/>
  </r>
  <r>
    <s v="DUKA-0348"/>
    <s v="2026-04-14"/>
    <x v="4"/>
    <s v="Rift Valley"/>
    <s v="Tablet 10in"/>
    <s v="Computing"/>
    <x v="0"/>
    <n v="2"/>
    <n v="27700"/>
    <n v="55400"/>
    <s v="April"/>
    <s v="Tuesday"/>
    <b v="0"/>
    <s v="Value"/>
  </r>
  <r>
    <s v="DUKA-0349"/>
    <s v="2026-05-15"/>
    <x v="0"/>
    <s v="Coast"/>
    <s v="Smartphone X"/>
    <s v="Mobile"/>
    <x v="1"/>
    <n v="1"/>
    <n v="41600"/>
    <n v="41600"/>
    <s v="May"/>
    <s v="Friday"/>
    <b v="0"/>
    <s v="Premium"/>
  </r>
  <r>
    <s v="DUKA-0350"/>
    <s v="2026-03-13"/>
    <x v="5"/>
    <s v="Capital"/>
    <s v="Tablet 10in"/>
    <s v="Computing"/>
    <x v="1"/>
    <n v="1"/>
    <n v="31500"/>
    <n v="31500"/>
    <s v="March"/>
    <s v="Friday"/>
    <b v="0"/>
    <s v="Premium"/>
  </r>
  <r>
    <s v="DUKA-0351"/>
    <s v="2026-02-19"/>
    <x v="7"/>
    <s v="Central"/>
    <s v="4K Television 43in"/>
    <s v="Television"/>
    <x v="1"/>
    <n v="1"/>
    <n v="57700"/>
    <n v="57700"/>
    <s v="February"/>
    <s v="Thursday"/>
    <b v="0"/>
    <s v="Premium"/>
  </r>
  <r>
    <s v="DUKA-0352"/>
    <s v="2026-01-02"/>
    <x v="7"/>
    <s v="Central"/>
    <s v="Smartphone X"/>
    <s v="Mobile"/>
    <x v="1"/>
    <n v="1"/>
    <n v="40200"/>
    <n v="40200"/>
    <s v="January"/>
    <s v="Friday"/>
    <b v="0"/>
    <s v="Premium"/>
  </r>
  <r>
    <s v="DUKA-0353"/>
    <s v="2026-03-25"/>
    <x v="4"/>
    <s v="Rift Valley"/>
    <s v="Smart Watch"/>
    <s v="Wearables"/>
    <x v="1"/>
    <n v="1"/>
    <n v="21100"/>
    <n v="21100"/>
    <s v="March"/>
    <s v="Wednesday"/>
    <b v="0"/>
    <s v="Value"/>
  </r>
  <r>
    <s v="DUKA-0354"/>
    <s v="2026-03-08"/>
    <x v="7"/>
    <s v="Central"/>
    <s v="Smart Watch"/>
    <s v="Wearables"/>
    <x v="1"/>
    <n v="1"/>
    <n v="20500"/>
    <n v="20500"/>
    <s v="March"/>
    <s v="Sunday"/>
    <b v="1"/>
    <s v="Value"/>
  </r>
  <r>
    <s v="DUKA-0355"/>
    <s v="2026-04-30"/>
    <x v="4"/>
    <s v="Rift Valley"/>
    <s v="Chromebook Air"/>
    <s v="Computing"/>
    <x v="0"/>
    <n v="1"/>
    <n v="34200"/>
    <n v="34200"/>
    <s v="April"/>
    <s v="Thursday"/>
    <b v="0"/>
    <s v="Premium"/>
  </r>
  <r>
    <s v="DUKA-0356"/>
    <s v="2026-03-09"/>
    <x v="7"/>
    <s v="Central"/>
    <s v="Laptop Pro 14"/>
    <s v="Computing"/>
    <x v="0"/>
    <n v="1"/>
    <n v="123700"/>
    <n v="123700"/>
    <s v="March"/>
    <s v="Monday"/>
    <b v="0"/>
    <s v="Premium"/>
  </r>
  <r>
    <s v="DUKA-0357"/>
    <s v="2026-05-10"/>
    <x v="1"/>
    <s v="Capital"/>
    <s v="Chromebook Air"/>
    <s v="Computing"/>
    <x v="1"/>
    <n v="2"/>
    <n v="32400"/>
    <n v="64800"/>
    <s v="May"/>
    <s v="Sunday"/>
    <b v="1"/>
    <s v="Premium"/>
  </r>
  <r>
    <s v="DUKA-0358"/>
    <s v="2026-01-15"/>
    <x v="6"/>
    <s v="Rift Valley"/>
    <s v="Power Bank 20K"/>
    <s v="Accessories"/>
    <x v="1"/>
    <n v="2"/>
    <n v="4600"/>
    <n v="9200"/>
    <s v="January"/>
    <s v="Thursday"/>
    <b v="0"/>
    <s v="Value"/>
  </r>
  <r>
    <s v="DUKA-0359"/>
    <s v="2026-06-29"/>
    <x v="2"/>
    <s v="Central"/>
    <s v="Tablet 10in"/>
    <s v="Computing"/>
    <x v="1"/>
    <n v="1"/>
    <n v="29300"/>
    <n v="29300"/>
    <s v="June"/>
    <s v="Monday"/>
    <b v="0"/>
    <s v="Premium"/>
  </r>
  <r>
    <s v="DUKA-0360"/>
    <s v="2026-01-16"/>
    <x v="5"/>
    <s v="Capital"/>
    <s v="Chromebook Air"/>
    <s v="Computing"/>
    <x v="1"/>
    <n v="1"/>
    <n v="31500"/>
    <n v="31500"/>
    <s v="January"/>
    <s v="Friday"/>
    <b v="0"/>
    <s v="Premium"/>
  </r>
  <r>
    <s v="DUKA-0361"/>
    <s v="2026-03-06"/>
    <x v="2"/>
    <s v="Central"/>
    <s v="Bluetooth Speaker"/>
    <s v="Audio"/>
    <x v="0"/>
    <n v="3"/>
    <n v="6400"/>
    <n v="19200"/>
    <s v="March"/>
    <s v="Friday"/>
    <b v="0"/>
    <s v="Value"/>
  </r>
  <r>
    <s v="DUKA-0362"/>
    <s v="2026-02-17"/>
    <x v="1"/>
    <s v="Capital"/>
    <s v="Wi-Fi Router AX"/>
    <s v="Networking"/>
    <x v="1"/>
    <n v="3"/>
    <n v="11500"/>
    <n v="34500"/>
    <s v="February"/>
    <s v="Tuesday"/>
    <b v="0"/>
    <s v="Value"/>
  </r>
  <r>
    <s v="DUKA-0363"/>
    <s v="2026-05-25"/>
    <x v="7"/>
    <s v="Central"/>
    <s v="Laptop Pro 14"/>
    <s v="Computing"/>
    <x v="0"/>
    <n v="2"/>
    <n v="112000"/>
    <n v="224000"/>
    <s v="May"/>
    <s v="Monday"/>
    <b v="0"/>
    <s v="Premium"/>
  </r>
  <r>
    <s v="DUKA-0364"/>
    <s v="2026-03-31"/>
    <x v="4"/>
    <s v="Rift Valley"/>
    <s v="Wi-Fi Router AX"/>
    <s v="Networking"/>
    <x v="1"/>
    <n v="1"/>
    <n v="12900"/>
    <n v="12900"/>
    <s v="March"/>
    <s v="Tuesday"/>
    <b v="0"/>
    <s v="Value"/>
  </r>
  <r>
    <s v="DUKA-0365"/>
    <s v="2026-05-16"/>
    <x v="1"/>
    <s v="Capital"/>
    <s v="Laptop Pro 14"/>
    <s v="Computing"/>
    <x v="1"/>
    <n v="4"/>
    <n v="124000"/>
    <n v="496000"/>
    <s v="May"/>
    <s v="Saturday"/>
    <b v="1"/>
    <s v="Premium"/>
  </r>
  <r>
    <s v="DUKA-0366"/>
    <s v="2026-05-21"/>
    <x v="4"/>
    <s v="Rift Valley"/>
    <s v="Smart Watch"/>
    <s v="Wearables"/>
    <x v="0"/>
    <n v="1"/>
    <n v="23400"/>
    <n v="23400"/>
    <s v="May"/>
    <s v="Thursday"/>
    <b v="0"/>
    <s v="Value"/>
  </r>
  <r>
    <s v="DUKA-0367"/>
    <s v="2026-04-28"/>
    <x v="0"/>
    <s v="Coast"/>
    <s v="Budget Smartphone"/>
    <s v="Mobile"/>
    <x v="1"/>
    <n v="2"/>
    <n v="18200"/>
    <n v="36400"/>
    <s v="April"/>
    <s v="Tuesday"/>
    <b v="0"/>
    <s v="Value"/>
  </r>
  <r>
    <s v="DUKA-0368"/>
    <s v="2026-04-17"/>
    <x v="2"/>
    <s v="Central"/>
    <s v="Tablet 10in"/>
    <s v="Computing"/>
    <x v="0"/>
    <n v="1"/>
    <n v="31000"/>
    <n v="31000"/>
    <s v="April"/>
    <s v="Friday"/>
    <b v="0"/>
    <s v="Premium"/>
  </r>
  <r>
    <s v="DUKA-0369"/>
    <s v="2026-04-03"/>
    <x v="5"/>
    <s v="Capital"/>
    <s v="Wi-Fi Router AX"/>
    <s v="Networking"/>
    <x v="1"/>
    <n v="1"/>
    <n v="12400"/>
    <n v="12400"/>
    <s v="April"/>
    <s v="Friday"/>
    <b v="0"/>
    <s v="Value"/>
  </r>
  <r>
    <s v="DUKA-0370"/>
    <s v="2026-04-08"/>
    <x v="7"/>
    <s v="Central"/>
    <s v="Chromebook Air"/>
    <s v="Computing"/>
    <x v="1"/>
    <n v="1"/>
    <n v="32700"/>
    <n v="32700"/>
    <s v="April"/>
    <s v="Wednesday"/>
    <b v="0"/>
    <s v="Premium"/>
  </r>
  <r>
    <s v="DUKA-0371"/>
    <s v="2026-05-21"/>
    <x v="3"/>
    <s v="Western"/>
    <s v="Power Bank 20K"/>
    <s v="Accessories"/>
    <x v="0"/>
    <n v="3"/>
    <n v="4400"/>
    <n v="13200"/>
    <s v="May"/>
    <s v="Thursday"/>
    <b v="0"/>
    <s v="Value"/>
  </r>
  <r>
    <s v="DUKA-0372"/>
    <s v="2026-05-25"/>
    <x v="2"/>
    <s v="Central"/>
    <s v="HD Television 32in"/>
    <s v="Television"/>
    <x v="1"/>
    <n v="3"/>
    <n v="25300"/>
    <n v="75900"/>
    <s v="May"/>
    <s v="Monday"/>
    <b v="0"/>
    <s v="Value"/>
  </r>
  <r>
    <s v="DUKA-0373"/>
    <s v="2026-03-24"/>
    <x v="3"/>
    <s v="Western"/>
    <s v="Bluetooth Speaker"/>
    <s v="Audio"/>
    <x v="1"/>
    <n v="1"/>
    <n v="6900"/>
    <n v="6900"/>
    <s v="March"/>
    <s v="Tuesday"/>
    <b v="0"/>
    <s v="Value"/>
  </r>
  <r>
    <s v="DUKA-0374"/>
    <s v="2026-06-03"/>
    <x v="7"/>
    <s v="Central"/>
    <s v="Wi-Fi Router AX"/>
    <s v="Networking"/>
    <x v="1"/>
    <n v="1"/>
    <n v="12300"/>
    <n v="12300"/>
    <s v="June"/>
    <s v="Wednesday"/>
    <b v="0"/>
    <s v="Value"/>
  </r>
  <r>
    <s v="DUKA-0375"/>
    <s v="2026-01-04"/>
    <x v="5"/>
    <s v="Capital"/>
    <s v="Wi-Fi Router AX"/>
    <s v="Networking"/>
    <x v="1"/>
    <n v="1"/>
    <n v="11800"/>
    <n v="11800"/>
    <s v="January"/>
    <s v="Sunday"/>
    <b v="1"/>
    <s v="Value"/>
  </r>
  <r>
    <s v="DUKA-0376"/>
    <s v="2026-03-21"/>
    <x v="2"/>
    <s v="Central"/>
    <s v="Smartphone X"/>
    <s v="Mobile"/>
    <x v="0"/>
    <n v="5"/>
    <n v="41900"/>
    <n v="209500"/>
    <s v="March"/>
    <s v="Saturday"/>
    <b v="1"/>
    <s v="Premium"/>
  </r>
  <r>
    <s v="DUKA-0377"/>
    <s v="2026-05-05"/>
    <x v="5"/>
    <s v="Capital"/>
    <s v="Laptop Pro 14"/>
    <s v="Computing"/>
    <x v="1"/>
    <n v="2"/>
    <n v="115000"/>
    <n v="230000"/>
    <s v="May"/>
    <s v="Tuesday"/>
    <b v="0"/>
    <s v="Premium"/>
  </r>
  <r>
    <s v="DUKA-0378"/>
    <s v="2026-04-20"/>
    <x v="4"/>
    <s v="Rift Valley"/>
    <s v="HD Television 32in"/>
    <s v="Television"/>
    <x v="1"/>
    <n v="1"/>
    <n v="28400"/>
    <n v="28400"/>
    <s v="April"/>
    <s v="Monday"/>
    <b v="0"/>
    <s v="Premium"/>
  </r>
  <r>
    <s v="DUKA-0379"/>
    <s v="2026-03-15"/>
    <x v="2"/>
    <s v="Central"/>
    <s v="Wireless Headphones"/>
    <s v="Audio"/>
    <x v="1"/>
    <n v="1"/>
    <n v="7900"/>
    <n v="7900"/>
    <s v="March"/>
    <s v="Sunday"/>
    <b v="1"/>
    <s v="Value"/>
  </r>
  <r>
    <s v="DUKA-0380"/>
    <s v="2026-06-16"/>
    <x v="3"/>
    <s v="Western"/>
    <s v="Chromebook Air"/>
    <s v="Computing"/>
    <x v="1"/>
    <n v="1"/>
    <n v="34300"/>
    <n v="34300"/>
    <s v="June"/>
    <s v="Tuesday"/>
    <b v="0"/>
    <s v="Premium"/>
  </r>
  <r>
    <s v="DUKA-0381"/>
    <s v="2026-01-12"/>
    <x v="5"/>
    <s v="Capital"/>
    <s v="4K Television 43in"/>
    <s v="Television"/>
    <x v="0"/>
    <n v="3"/>
    <n v="56500"/>
    <n v="169500"/>
    <s v="January"/>
    <s v="Monday"/>
    <b v="0"/>
    <s v="Premium"/>
  </r>
  <r>
    <s v="DUKA-0382"/>
    <s v="2026-01-15"/>
    <x v="6"/>
    <s v="Rift Valley"/>
    <s v="Budget Smartphone"/>
    <s v="Mobile"/>
    <x v="1"/>
    <n v="1"/>
    <n v="19900"/>
    <n v="19900"/>
    <s v="January"/>
    <s v="Thursday"/>
    <b v="0"/>
    <s v="Value"/>
  </r>
  <r>
    <s v="DUKA-0383"/>
    <s v="2026-03-26"/>
    <x v="5"/>
    <s v="Capital"/>
    <s v="Tablet 10in"/>
    <s v="Computing"/>
    <x v="1"/>
    <n v="1"/>
    <n v="27200"/>
    <n v="27200"/>
    <s v="March"/>
    <s v="Thursday"/>
    <b v="0"/>
    <s v="Value"/>
  </r>
  <r>
    <s v="DUKA-0384"/>
    <s v="2026-04-21"/>
    <x v="3"/>
    <s v="Western"/>
    <s v="4K Television 43in"/>
    <s v="Television"/>
    <x v="1"/>
    <n v="2"/>
    <n v="55000"/>
    <n v="110000"/>
    <s v="April"/>
    <s v="Tuesday"/>
    <b v="0"/>
    <s v="Premium"/>
  </r>
  <r>
    <s v="DUKA-0385"/>
    <s v="2026-03-16"/>
    <x v="7"/>
    <s v="Central"/>
    <s v="Smartphone X"/>
    <s v="Mobile"/>
    <x v="0"/>
    <n v="1"/>
    <n v="45100"/>
    <n v="45100"/>
    <s v="March"/>
    <s v="Monday"/>
    <b v="0"/>
    <s v="Premium"/>
  </r>
  <r>
    <s v="DUKA-0386"/>
    <s v="2026-05-21"/>
    <x v="3"/>
    <s v="Western"/>
    <s v="Bluetooth Speaker"/>
    <s v="Audio"/>
    <x v="1"/>
    <n v="1"/>
    <n v="6600"/>
    <n v="6600"/>
    <s v="May"/>
    <s v="Thursday"/>
    <b v="0"/>
    <s v="Value"/>
  </r>
  <r>
    <s v="DUKA-0387"/>
    <s v="2026-04-27"/>
    <x v="3"/>
    <s v="Western"/>
    <s v="Wi-Fi Router AX"/>
    <s v="Networking"/>
    <x v="0"/>
    <n v="2"/>
    <n v="11100"/>
    <n v="22200"/>
    <s v="April"/>
    <s v="Monday"/>
    <b v="0"/>
    <s v="Value"/>
  </r>
  <r>
    <s v="DUKA-0388"/>
    <s v="2026-03-19"/>
    <x v="3"/>
    <s v="Western"/>
    <s v="4K Television 43in"/>
    <s v="Television"/>
    <x v="0"/>
    <n v="2"/>
    <n v="58200"/>
    <n v="116400"/>
    <s v="March"/>
    <s v="Thursday"/>
    <b v="0"/>
    <s v="Premium"/>
  </r>
  <r>
    <s v="DUKA-0389"/>
    <s v="2026-02-22"/>
    <x v="4"/>
    <s v="Rift Valley"/>
    <s v="4K Television 43in"/>
    <s v="Television"/>
    <x v="1"/>
    <n v="2"/>
    <n v="56200"/>
    <n v="112400"/>
    <s v="February"/>
    <s v="Sunday"/>
    <b v="1"/>
    <s v="Premium"/>
  </r>
  <r>
    <s v="DUKA-0390"/>
    <s v="2026-05-16"/>
    <x v="4"/>
    <s v="Rift Valley"/>
    <s v="HD Television 32in"/>
    <s v="Television"/>
    <x v="0"/>
    <n v="1"/>
    <n v="28000"/>
    <n v="28000"/>
    <s v="May"/>
    <s v="Saturday"/>
    <b v="1"/>
    <s v="Premium"/>
  </r>
  <r>
    <s v="DUKA-0391"/>
    <s v="2026-03-30"/>
    <x v="5"/>
    <s v="Capital"/>
    <s v="Smartphone X"/>
    <s v="Mobile"/>
    <x v="1"/>
    <n v="2"/>
    <n v="44900"/>
    <n v="89800"/>
    <s v="March"/>
    <s v="Monday"/>
    <b v="0"/>
    <s v="Premium"/>
  </r>
  <r>
    <s v="DUKA-0392"/>
    <s v="2026-06-02"/>
    <x v="5"/>
    <s v="Capital"/>
    <s v="Bluetooth Speaker"/>
    <s v="Audio"/>
    <x v="1"/>
    <n v="1"/>
    <n v="6600"/>
    <n v="6600"/>
    <s v="June"/>
    <s v="Tuesday"/>
    <b v="0"/>
    <s v="Value"/>
  </r>
  <r>
    <s v="DUKA-0393"/>
    <s v="2026-02-07"/>
    <x v="5"/>
    <s v="Capital"/>
    <s v="Wireless Headphones"/>
    <s v="Audio"/>
    <x v="0"/>
    <n v="1"/>
    <n v="8100"/>
    <n v="8100"/>
    <s v="February"/>
    <s v="Saturday"/>
    <b v="1"/>
    <s v="Value"/>
  </r>
  <r>
    <s v="DUKA-0394"/>
    <s v="2026-05-19"/>
    <x v="2"/>
    <s v="Central"/>
    <s v="Smart Watch"/>
    <s v="Wearables"/>
    <x v="0"/>
    <n v="1"/>
    <n v="21400"/>
    <n v="21400"/>
    <s v="May"/>
    <s v="Tuesday"/>
    <b v="0"/>
    <s v="Value"/>
  </r>
  <r>
    <s v="DUKA-0395"/>
    <s v="2026-05-08"/>
    <x v="6"/>
    <s v="Rift Valley"/>
    <s v="HD Television 32in"/>
    <s v="Television"/>
    <x v="0"/>
    <n v="2"/>
    <n v="28400"/>
    <n v="56800"/>
    <s v="May"/>
    <s v="Friday"/>
    <b v="0"/>
    <s v="Premium"/>
  </r>
  <r>
    <s v="DUKA-0396"/>
    <s v="2026-04-08"/>
    <x v="7"/>
    <s v="Central"/>
    <s v="Laptop Pro 14"/>
    <s v="Computing"/>
    <x v="1"/>
    <n v="3"/>
    <n v="120300"/>
    <n v="360900"/>
    <s v="April"/>
    <s v="Wednesday"/>
    <b v="0"/>
    <s v="Premium"/>
  </r>
  <r>
    <s v="DUKA-0397"/>
    <s v="2026-06-22"/>
    <x v="2"/>
    <s v="Central"/>
    <s v="Smart Watch"/>
    <s v="Wearables"/>
    <x v="1"/>
    <n v="1"/>
    <n v="21100"/>
    <n v="21100"/>
    <s v="June"/>
    <s v="Monday"/>
    <b v="0"/>
    <s v="Value"/>
  </r>
  <r>
    <s v="DUKA-0398"/>
    <s v="2026-05-12"/>
    <x v="3"/>
    <s v="Western"/>
    <s v="Chromebook Air"/>
    <s v="Computing"/>
    <x v="1"/>
    <n v="4"/>
    <n v="33700"/>
    <n v="134800"/>
    <s v="May"/>
    <s v="Tuesday"/>
    <b v="0"/>
    <s v="Premium"/>
  </r>
  <r>
    <s v="DUKA-0399"/>
    <s v="2026-06-17"/>
    <x v="2"/>
    <s v="Central"/>
    <s v="Tablet 10in"/>
    <s v="Computing"/>
    <x v="1"/>
    <n v="1"/>
    <n v="28500"/>
    <n v="28500"/>
    <s v="June"/>
    <s v="Wednesday"/>
    <b v="0"/>
    <s v="Premium"/>
  </r>
  <r>
    <s v="DUKA-0400"/>
    <s v="2026-05-09"/>
    <x v="6"/>
    <s v="Rift Valley"/>
    <s v="Wireless Headphones"/>
    <s v="Audio"/>
    <x v="0"/>
    <n v="1"/>
    <n v="8500"/>
    <n v="8500"/>
    <s v="May"/>
    <s v="Saturday"/>
    <b v="1"/>
    <s v="Value"/>
  </r>
  <r>
    <s v="DUKA-0401"/>
    <s v="2026-02-22"/>
    <x v="0"/>
    <s v="Coast"/>
    <s v="Smart Watch"/>
    <s v="Wearables"/>
    <x v="1"/>
    <n v="3"/>
    <n v="22200"/>
    <n v="66600"/>
    <s v="February"/>
    <s v="Sunday"/>
    <b v="1"/>
    <s v="Value"/>
  </r>
  <r>
    <s v="DUKA-0402"/>
    <s v="2026-03-11"/>
    <x v="7"/>
    <s v="Central"/>
    <s v="Power Bank 20K"/>
    <s v="Accessories"/>
    <x v="0"/>
    <n v="1"/>
    <n v="4700"/>
    <n v="4700"/>
    <s v="March"/>
    <s v="Wednesday"/>
    <b v="0"/>
    <s v="Value"/>
  </r>
  <r>
    <s v="DUKA-0403"/>
    <s v="2026-06-10"/>
    <x v="3"/>
    <s v="Western"/>
    <s v="Wi-Fi Router AX"/>
    <s v="Networking"/>
    <x v="1"/>
    <n v="1"/>
    <n v="12700"/>
    <n v="12700"/>
    <s v="June"/>
    <s v="Wednesday"/>
    <b v="0"/>
    <s v="Value"/>
  </r>
  <r>
    <s v="DUKA-0404"/>
    <s v="2026-01-04"/>
    <x v="7"/>
    <s v="Central"/>
    <s v="HD Television 32in"/>
    <s v="Television"/>
    <x v="1"/>
    <n v="1"/>
    <n v="28500"/>
    <n v="28500"/>
    <s v="January"/>
    <s v="Sunday"/>
    <b v="1"/>
    <s v="Premium"/>
  </r>
  <r>
    <s v="DUKA-0405"/>
    <s v="2026-06-15"/>
    <x v="7"/>
    <s v="Central"/>
    <s v="Smartphone X"/>
    <s v="Mobile"/>
    <x v="1"/>
    <n v="1"/>
    <n v="44600"/>
    <n v="44600"/>
    <s v="June"/>
    <s v="Monday"/>
    <b v="0"/>
    <s v="Premium"/>
  </r>
  <r>
    <s v="DUKA-0406"/>
    <s v="2026-06-21"/>
    <x v="6"/>
    <s v="Rift Valley"/>
    <s v="Laptop Pro 14"/>
    <s v="Computing"/>
    <x v="1"/>
    <n v="2"/>
    <n v="117400"/>
    <n v="234800"/>
    <s v="June"/>
    <s v="Sunday"/>
    <b v="1"/>
    <s v="Premium"/>
  </r>
  <r>
    <s v="DUKA-0407"/>
    <s v="2026-06-02"/>
    <x v="4"/>
    <s v="Rift Valley"/>
    <s v="Smart Watch"/>
    <s v="Wearables"/>
    <x v="0"/>
    <n v="1"/>
    <n v="20700"/>
    <n v="20700"/>
    <s v="June"/>
    <s v="Tuesday"/>
    <b v="0"/>
    <s v="Value"/>
  </r>
  <r>
    <s v="DUKA-0408"/>
    <s v="2026-03-26"/>
    <x v="3"/>
    <s v="Western"/>
    <s v="Wi-Fi Router AX"/>
    <s v="Networking"/>
    <x v="0"/>
    <n v="2"/>
    <n v="12400"/>
    <n v="24800"/>
    <s v="March"/>
    <s v="Thursday"/>
    <b v="0"/>
    <s v="Value"/>
  </r>
  <r>
    <s v="DUKA-0409"/>
    <s v="2026-05-05"/>
    <x v="0"/>
    <s v="Coast"/>
    <s v="Bluetooth Speaker"/>
    <s v="Audio"/>
    <x v="1"/>
    <n v="1"/>
    <n v="6300"/>
    <n v="6300"/>
    <s v="May"/>
    <s v="Tuesday"/>
    <b v="0"/>
    <s v="Value"/>
  </r>
  <r>
    <s v="DUKA-0410"/>
    <s v="2026-02-24"/>
    <x v="2"/>
    <s v="Central"/>
    <s v="Power Bank 20K"/>
    <s v="Accessories"/>
    <x v="1"/>
    <n v="2"/>
    <n v="4200"/>
    <n v="8400"/>
    <s v="February"/>
    <s v="Tuesday"/>
    <b v="0"/>
    <s v="Value"/>
  </r>
  <r>
    <s v="DUKA-0411"/>
    <s v="2026-02-02"/>
    <x v="3"/>
    <s v="Western"/>
    <s v="HD Television 32in"/>
    <s v="Television"/>
    <x v="1"/>
    <n v="1"/>
    <n v="28100"/>
    <n v="28100"/>
    <s v="February"/>
    <s v="Monday"/>
    <b v="0"/>
    <s v="Premium"/>
  </r>
  <r>
    <s v="DUKA-0412"/>
    <s v="2026-02-15"/>
    <x v="7"/>
    <s v="Central"/>
    <s v="Power Bank 20K"/>
    <s v="Accessories"/>
    <x v="1"/>
    <n v="2"/>
    <n v="4400"/>
    <n v="8800"/>
    <s v="February"/>
    <s v="Sunday"/>
    <b v="1"/>
    <s v="Value"/>
  </r>
  <r>
    <s v="DUKA-0413"/>
    <s v="2026-06-11"/>
    <x v="4"/>
    <s v="Rift Valley"/>
    <s v="4K Television 43in"/>
    <s v="Television"/>
    <x v="1"/>
    <n v="1"/>
    <n v="56400"/>
    <n v="56400"/>
    <s v="June"/>
    <s v="Thursday"/>
    <b v="0"/>
    <s v="Premium"/>
  </r>
  <r>
    <s v="DUKA-0414"/>
    <s v="2026-03-14"/>
    <x v="3"/>
    <s v="Western"/>
    <s v="Smartphone X"/>
    <s v="Mobile"/>
    <x v="1"/>
    <n v="1"/>
    <n v="43100"/>
    <n v="43100"/>
    <s v="March"/>
    <s v="Saturday"/>
    <b v="1"/>
    <s v="Premium"/>
  </r>
  <r>
    <s v="DUKA-0415"/>
    <s v="2026-05-10"/>
    <x v="4"/>
    <s v="Rift Valley"/>
    <s v="Wireless Headphones"/>
    <s v="Audio"/>
    <x v="1"/>
    <n v="1"/>
    <n v="8100"/>
    <n v="8100"/>
    <s v="May"/>
    <s v="Sunday"/>
    <b v="1"/>
    <s v="Value"/>
  </r>
  <r>
    <s v="DUKA-0416"/>
    <s v="2026-04-15"/>
    <x v="2"/>
    <s v="Central"/>
    <s v="Laptop Pro 14"/>
    <s v="Computing"/>
    <x v="1"/>
    <n v="3"/>
    <n v="115300"/>
    <n v="345900"/>
    <s v="April"/>
    <s v="Wednesday"/>
    <b v="0"/>
    <s v="Premium"/>
  </r>
  <r>
    <s v="DUKA-0417"/>
    <s v="2026-06-28"/>
    <x v="4"/>
    <s v="Rift Valley"/>
    <s v="Smart Watch"/>
    <s v="Wearables"/>
    <x v="1"/>
    <n v="1"/>
    <n v="20300"/>
    <n v="20300"/>
    <s v="June"/>
    <s v="Sunday"/>
    <b v="1"/>
    <s v="Value"/>
  </r>
  <r>
    <s v="DUKA-0418"/>
    <s v="2026-04-04"/>
    <x v="0"/>
    <s v="Coast"/>
    <s v="Smart Watch"/>
    <s v="Wearables"/>
    <x v="1"/>
    <n v="2"/>
    <n v="22700"/>
    <n v="45400"/>
    <s v="April"/>
    <s v="Saturday"/>
    <b v="1"/>
    <s v="Value"/>
  </r>
  <r>
    <s v="DUKA-0419"/>
    <s v="2026-03-22"/>
    <x v="4"/>
    <s v="Rift Valley"/>
    <s v="Laptop Pro 14"/>
    <s v="Computing"/>
    <x v="1"/>
    <n v="1"/>
    <n v="119400"/>
    <n v="119400"/>
    <s v="March"/>
    <s v="Sunday"/>
    <b v="1"/>
    <s v="Premium"/>
  </r>
  <r>
    <s v="DUKA-0420"/>
    <s v="2026-03-11"/>
    <x v="0"/>
    <s v="Coast"/>
    <s v="Smart Watch"/>
    <s v="Wearables"/>
    <x v="1"/>
    <n v="2"/>
    <n v="21400"/>
    <n v="42800"/>
    <s v="March"/>
    <s v="Wednesday"/>
    <b v="0"/>
    <s v="Value"/>
  </r>
  <r>
    <s v="DUKA-0421"/>
    <s v="2026-05-02"/>
    <x v="7"/>
    <s v="Central"/>
    <s v="Chromebook Air"/>
    <s v="Computing"/>
    <x v="1"/>
    <n v="3"/>
    <n v="30800"/>
    <n v="92400"/>
    <s v="May"/>
    <s v="Saturday"/>
    <b v="1"/>
    <s v="Premium"/>
  </r>
  <r>
    <s v="DUKA-0422"/>
    <s v="2026-01-15"/>
    <x v="6"/>
    <s v="Rift Valley"/>
    <s v="Laptop Pro 14"/>
    <s v="Computing"/>
    <x v="0"/>
    <n v="1"/>
    <n v="123200"/>
    <n v="123200"/>
    <s v="January"/>
    <s v="Thursday"/>
    <b v="0"/>
    <s v="Premium"/>
  </r>
  <r>
    <s v="DUKA-0423"/>
    <s v="2026-06-24"/>
    <x v="5"/>
    <s v="Capital"/>
    <s v="Chromebook Air"/>
    <s v="Computing"/>
    <x v="1"/>
    <n v="1"/>
    <n v="32500"/>
    <n v="32500"/>
    <s v="June"/>
    <s v="Wednesday"/>
    <b v="0"/>
    <s v="Premium"/>
  </r>
  <r>
    <s v="DUKA-0424"/>
    <s v="2026-06-27"/>
    <x v="2"/>
    <s v="Central"/>
    <s v="4K Television 43in"/>
    <s v="Television"/>
    <x v="1"/>
    <n v="1"/>
    <n v="50800"/>
    <n v="50800"/>
    <s v="June"/>
    <s v="Saturday"/>
    <b v="1"/>
    <s v="Premium"/>
  </r>
  <r>
    <s v="DUKA-0425"/>
    <s v="2026-01-19"/>
    <x v="2"/>
    <s v="Central"/>
    <s v="Laptop Pro 14"/>
    <s v="Computing"/>
    <x v="1"/>
    <n v="1"/>
    <n v="110900"/>
    <n v="110900"/>
    <s v="January"/>
    <s v="Monday"/>
    <b v="0"/>
    <s v="Premium"/>
  </r>
  <r>
    <s v="DUKA-0426"/>
    <s v="2026-01-03"/>
    <x v="5"/>
    <s v="Capital"/>
    <s v="Chromebook Air"/>
    <s v="Computing"/>
    <x v="1"/>
    <n v="4"/>
    <n v="29600"/>
    <n v="118400"/>
    <s v="January"/>
    <s v="Saturday"/>
    <b v="1"/>
    <s v="Premium"/>
  </r>
  <r>
    <s v="DUKA-0427"/>
    <s v="2026-06-09"/>
    <x v="5"/>
    <s v="Capital"/>
    <s v="Wi-Fi Router AX"/>
    <s v="Networking"/>
    <x v="0"/>
    <n v="1"/>
    <n v="11400"/>
    <n v="11400"/>
    <s v="June"/>
    <s v="Tuesday"/>
    <b v="0"/>
    <s v="Value"/>
  </r>
  <r>
    <s v="DUKA-0428"/>
    <s v="2026-06-16"/>
    <x v="3"/>
    <s v="Western"/>
    <s v="Wireless Headphones"/>
    <s v="Audio"/>
    <x v="1"/>
    <n v="4"/>
    <n v="9000"/>
    <n v="36000"/>
    <s v="June"/>
    <s v="Tuesday"/>
    <b v="0"/>
    <s v="Value"/>
  </r>
  <r>
    <s v="DUKA-0429"/>
    <s v="2026-03-25"/>
    <x v="0"/>
    <s v="Coast"/>
    <s v="Wi-Fi Router AX"/>
    <s v="Networking"/>
    <x v="1"/>
    <n v="1"/>
    <n v="11900"/>
    <n v="11900"/>
    <s v="March"/>
    <s v="Wednesday"/>
    <b v="0"/>
    <s v="Value"/>
  </r>
  <r>
    <s v="DUKA-0430"/>
    <s v="2026-01-06"/>
    <x v="6"/>
    <s v="Rift Valley"/>
    <s v="Smartphone X"/>
    <s v="Mobile"/>
    <x v="1"/>
    <n v="1"/>
    <n v="40000"/>
    <n v="40000"/>
    <s v="January"/>
    <s v="Tuesday"/>
    <b v="0"/>
    <s v="Premium"/>
  </r>
  <r>
    <s v="DUKA-0431"/>
    <s v="2026-01-19"/>
    <x v="0"/>
    <s v="Coast"/>
    <s v="Budget Smartphone"/>
    <s v="Mobile"/>
    <x v="1"/>
    <n v="1"/>
    <n v="18700"/>
    <n v="18700"/>
    <s v="January"/>
    <s v="Monday"/>
    <b v="0"/>
    <s v="Value"/>
  </r>
  <r>
    <s v="DUKA-0432"/>
    <s v="2026-04-02"/>
    <x v="6"/>
    <s v="Rift Valley"/>
    <s v="Chromebook Air"/>
    <s v="Computing"/>
    <x v="1"/>
    <n v="4"/>
    <n v="32600"/>
    <n v="130400"/>
    <s v="April"/>
    <s v="Thursday"/>
    <b v="0"/>
    <s v="Premium"/>
  </r>
  <r>
    <s v="DUKA-0433"/>
    <s v="2026-06-21"/>
    <x v="7"/>
    <s v="Central"/>
    <s v="Wireless Headphones"/>
    <s v="Audio"/>
    <x v="1"/>
    <n v="1"/>
    <n v="8900"/>
    <n v="8900"/>
    <s v="June"/>
    <s v="Sunday"/>
    <b v="1"/>
    <s v="Value"/>
  </r>
  <r>
    <s v="DUKA-0434"/>
    <s v="2026-05-23"/>
    <x v="4"/>
    <s v="Rift Valley"/>
    <s v="Chromebook Air"/>
    <s v="Computing"/>
    <x v="0"/>
    <n v="1"/>
    <n v="30200"/>
    <n v="30200"/>
    <s v="May"/>
    <s v="Saturday"/>
    <b v="1"/>
    <s v="Premium"/>
  </r>
  <r>
    <s v="DUKA-0435"/>
    <s v="2026-01-06"/>
    <x v="6"/>
    <s v="Rift Valley"/>
    <s v="Wireless Headphones"/>
    <s v="Audio"/>
    <x v="1"/>
    <n v="1"/>
    <n v="8700"/>
    <n v="8700"/>
    <s v="January"/>
    <s v="Tuesday"/>
    <b v="0"/>
    <s v="Value"/>
  </r>
  <r>
    <s v="DUKA-0436"/>
    <s v="2026-05-01"/>
    <x v="1"/>
    <s v="Capital"/>
    <s v="Tablet 10in"/>
    <s v="Computing"/>
    <x v="0"/>
    <n v="1"/>
    <n v="29900"/>
    <n v="29900"/>
    <s v="May"/>
    <s v="Friday"/>
    <b v="0"/>
    <s v="Premium"/>
  </r>
  <r>
    <s v="DUKA-0437"/>
    <s v="2026-05-27"/>
    <x v="5"/>
    <s v="Capital"/>
    <s v="Bluetooth Speaker"/>
    <s v="Audio"/>
    <x v="1"/>
    <n v="1"/>
    <n v="7000"/>
    <n v="7000"/>
    <s v="May"/>
    <s v="Wednesday"/>
    <b v="0"/>
    <s v="Value"/>
  </r>
  <r>
    <s v="DUKA-0438"/>
    <s v="2026-05-08"/>
    <x v="1"/>
    <s v="Capital"/>
    <s v="HD Television 32in"/>
    <s v="Television"/>
    <x v="1"/>
    <n v="2"/>
    <n v="26100"/>
    <n v="52200"/>
    <s v="May"/>
    <s v="Friday"/>
    <b v="0"/>
    <s v="Value"/>
  </r>
  <r>
    <s v="DUKA-0439"/>
    <s v="2026-03-20"/>
    <x v="6"/>
    <s v="Rift Valley"/>
    <s v="Power Bank 20K"/>
    <s v="Accessories"/>
    <x v="1"/>
    <n v="1"/>
    <n v="4500"/>
    <n v="4500"/>
    <s v="March"/>
    <s v="Friday"/>
    <b v="0"/>
    <s v="Value"/>
  </r>
  <r>
    <s v="DUKA-0440"/>
    <s v="2026-01-18"/>
    <x v="4"/>
    <s v="Rift Valley"/>
    <s v="Laptop Pro 14"/>
    <s v="Computing"/>
    <x v="1"/>
    <n v="3"/>
    <n v="121500"/>
    <n v="364500"/>
    <s v="January"/>
    <s v="Sunday"/>
    <b v="1"/>
    <s v="Premium"/>
  </r>
  <r>
    <s v="DUKA-0441"/>
    <s v="2026-05-13"/>
    <x v="1"/>
    <s v="Capital"/>
    <s v="Budget Smartphone"/>
    <s v="Mobile"/>
    <x v="1"/>
    <n v="3"/>
    <n v="19400"/>
    <n v="58200"/>
    <s v="May"/>
    <s v="Wednesday"/>
    <b v="0"/>
    <s v="Value"/>
  </r>
  <r>
    <s v="DUKA-0442"/>
    <s v="2026-06-06"/>
    <x v="6"/>
    <s v="Rift Valley"/>
    <s v="Bluetooth Speaker"/>
    <s v="Audio"/>
    <x v="0"/>
    <n v="1"/>
    <n v="7000"/>
    <n v="7000"/>
    <s v="June"/>
    <s v="Saturday"/>
    <b v="1"/>
    <s v="Value"/>
  </r>
  <r>
    <s v="DUKA-0443"/>
    <s v="2026-04-09"/>
    <x v="7"/>
    <s v="Central"/>
    <s v="HD Television 32in"/>
    <s v="Television"/>
    <x v="1"/>
    <n v="1"/>
    <n v="27000"/>
    <n v="27000"/>
    <s v="April"/>
    <s v="Thursday"/>
    <b v="0"/>
    <s v="Value"/>
  </r>
  <r>
    <s v="DUKA-0444"/>
    <s v="2026-04-28"/>
    <x v="6"/>
    <s v="Rift Valley"/>
    <s v="Bluetooth Speaker"/>
    <s v="Audio"/>
    <x v="1"/>
    <n v="1"/>
    <n v="6800"/>
    <n v="6800"/>
    <s v="April"/>
    <s v="Tuesday"/>
    <b v="0"/>
    <s v="Value"/>
  </r>
  <r>
    <s v="DUKA-0445"/>
    <s v="2026-01-19"/>
    <x v="3"/>
    <s v="Western"/>
    <s v="Budget Smartphone"/>
    <s v="Mobile"/>
    <x v="1"/>
    <n v="4"/>
    <n v="19200"/>
    <n v="76800"/>
    <s v="January"/>
    <s v="Monday"/>
    <b v="0"/>
    <s v="Value"/>
  </r>
  <r>
    <s v="DUKA-0446"/>
    <s v="2026-06-20"/>
    <x v="1"/>
    <s v="Capital"/>
    <s v="HD Television 32in"/>
    <s v="Television"/>
    <x v="1"/>
    <n v="2"/>
    <n v="28400"/>
    <n v="56800"/>
    <s v="June"/>
    <s v="Saturday"/>
    <b v="1"/>
    <s v="Premium"/>
  </r>
  <r>
    <s v="DUKA-0447"/>
    <s v="2026-03-06"/>
    <x v="5"/>
    <s v="Capital"/>
    <s v="Tablet 10in"/>
    <s v="Computing"/>
    <x v="1"/>
    <n v="1"/>
    <n v="28400"/>
    <n v="28400"/>
    <s v="March"/>
    <s v="Friday"/>
    <b v="0"/>
    <s v="Premium"/>
  </r>
  <r>
    <s v="DUKA-0448"/>
    <s v="2026-06-30"/>
    <x v="6"/>
    <s v="Rift Valley"/>
    <s v="4K Television 43in"/>
    <s v="Television"/>
    <x v="1"/>
    <n v="1"/>
    <n v="52200"/>
    <n v="52200"/>
    <s v="June"/>
    <s v="Tuesday"/>
    <b v="0"/>
    <s v="Premium"/>
  </r>
  <r>
    <s v="DUKA-0449"/>
    <s v="2026-01-28"/>
    <x v="3"/>
    <s v="Western"/>
    <s v="Smart Watch"/>
    <s v="Wearables"/>
    <x v="0"/>
    <n v="2"/>
    <n v="22800"/>
    <n v="45600"/>
    <s v="January"/>
    <s v="Wednesday"/>
    <b v="0"/>
    <s v="Value"/>
  </r>
  <r>
    <s v="DUKA-0450"/>
    <s v="2026-05-17"/>
    <x v="7"/>
    <s v="Central"/>
    <s v="Bluetooth Speaker"/>
    <s v="Audio"/>
    <x v="1"/>
    <n v="1"/>
    <n v="6500"/>
    <n v="6500"/>
    <s v="May"/>
    <s v="Sunday"/>
    <b v="1"/>
    <s v="Value"/>
  </r>
  <r>
    <s v="DUKA-0451"/>
    <s v="2026-05-17"/>
    <x v="1"/>
    <s v="Capital"/>
    <s v="Wireless Headphones"/>
    <s v="Audio"/>
    <x v="0"/>
    <n v="1"/>
    <n v="8200"/>
    <n v="8200"/>
    <s v="May"/>
    <s v="Sunday"/>
    <b v="1"/>
    <s v="Value"/>
  </r>
  <r>
    <s v="DUKA-0452"/>
    <s v="2026-05-26"/>
    <x v="0"/>
    <s v="Coast"/>
    <s v="Chromebook Air"/>
    <s v="Computing"/>
    <x v="0"/>
    <n v="1"/>
    <n v="32500"/>
    <n v="32500"/>
    <s v="May"/>
    <s v="Tuesday"/>
    <b v="0"/>
    <s v="Premium"/>
  </r>
  <r>
    <s v="DUKA-0453"/>
    <s v="2026-02-18"/>
    <x v="1"/>
    <s v="Capital"/>
    <s v="4K Television 43in"/>
    <s v="Television"/>
    <x v="1"/>
    <n v="1"/>
    <n v="54500"/>
    <n v="54500"/>
    <s v="February"/>
    <s v="Wednesday"/>
    <b v="0"/>
    <s v="Premium"/>
  </r>
  <r>
    <s v="DUKA-0454"/>
    <s v="2026-06-23"/>
    <x v="6"/>
    <s v="Rift Valley"/>
    <s v="4K Television 43in"/>
    <s v="Television"/>
    <x v="0"/>
    <n v="1"/>
    <n v="51000"/>
    <n v="51000"/>
    <s v="June"/>
    <s v="Tuesday"/>
    <b v="0"/>
    <s v="Premium"/>
  </r>
  <r>
    <s v="DUKA-0455"/>
    <s v="2026-03-16"/>
    <x v="2"/>
    <s v="Central"/>
    <s v="Budget Smartphone"/>
    <s v="Mobile"/>
    <x v="1"/>
    <n v="3"/>
    <n v="17600"/>
    <n v="52800"/>
    <s v="March"/>
    <s v="Monday"/>
    <b v="0"/>
    <s v="Value"/>
  </r>
  <r>
    <s v="DUKA-0456"/>
    <s v="2026-05-11"/>
    <x v="1"/>
    <s v="Capital"/>
    <s v="Tablet 10in"/>
    <s v="Computing"/>
    <x v="0"/>
    <n v="3"/>
    <n v="28000"/>
    <n v="84000"/>
    <s v="May"/>
    <s v="Monday"/>
    <b v="0"/>
    <s v="Premium"/>
  </r>
  <r>
    <s v="DUKA-0457"/>
    <s v="2026-01-15"/>
    <x v="7"/>
    <s v="Central"/>
    <s v="Budget Smartphone"/>
    <s v="Mobile"/>
    <x v="1"/>
    <n v="1"/>
    <n v="18200"/>
    <n v="18200"/>
    <s v="January"/>
    <s v="Thursday"/>
    <b v="0"/>
    <s v="Value"/>
  </r>
  <r>
    <s v="DUKA-0458"/>
    <s v="2026-04-21"/>
    <x v="4"/>
    <s v="Rift Valley"/>
    <s v="4K Television 43in"/>
    <s v="Television"/>
    <x v="0"/>
    <n v="1"/>
    <n v="53000"/>
    <n v="53000"/>
    <s v="April"/>
    <s v="Tuesday"/>
    <b v="0"/>
    <s v="Premium"/>
  </r>
  <r>
    <s v="DUKA-0459"/>
    <s v="2026-02-16"/>
    <x v="4"/>
    <s v="Rift Valley"/>
    <s v="Chromebook Air"/>
    <s v="Computing"/>
    <x v="1"/>
    <n v="1"/>
    <n v="33800"/>
    <n v="33800"/>
    <s v="February"/>
    <s v="Monday"/>
    <b v="0"/>
    <s v="Premium"/>
  </r>
  <r>
    <s v="DUKA-0460"/>
    <s v="2026-04-06"/>
    <x v="6"/>
    <s v="Rift Valley"/>
    <s v="Smart Watch"/>
    <s v="Wearables"/>
    <x v="1"/>
    <n v="1"/>
    <n v="22200"/>
    <n v="22200"/>
    <s v="April"/>
    <s v="Monday"/>
    <b v="0"/>
    <s v="Value"/>
  </r>
  <r>
    <s v="DUKA-0461"/>
    <s v="2026-05-14"/>
    <x v="5"/>
    <s v="Capital"/>
    <s v="HD Television 32in"/>
    <s v="Television"/>
    <x v="0"/>
    <n v="1"/>
    <n v="26600"/>
    <n v="26600"/>
    <s v="May"/>
    <s v="Thursday"/>
    <b v="0"/>
    <s v="Value"/>
  </r>
  <r>
    <s v="DUKA-0462"/>
    <s v="2026-04-05"/>
    <x v="5"/>
    <s v="Capital"/>
    <s v="Smartphone X"/>
    <s v="Mobile"/>
    <x v="1"/>
    <n v="1"/>
    <n v="39000"/>
    <n v="39000"/>
    <s v="April"/>
    <s v="Sunday"/>
    <b v="1"/>
    <s v="Premium"/>
  </r>
  <r>
    <s v="DUKA-0463"/>
    <s v="2026-01-13"/>
    <x v="4"/>
    <s v="Rift Valley"/>
    <s v="Smartphone X"/>
    <s v="Mobile"/>
    <x v="0"/>
    <n v="1"/>
    <n v="42100"/>
    <n v="42100"/>
    <s v="January"/>
    <s v="Tuesday"/>
    <b v="0"/>
    <s v="Premium"/>
  </r>
  <r>
    <s v="DUKA-0464"/>
    <s v="2026-04-26"/>
    <x v="0"/>
    <s v="Coast"/>
    <s v="Laptop Pro 14"/>
    <s v="Computing"/>
    <x v="1"/>
    <n v="1"/>
    <n v="108100"/>
    <n v="108100"/>
    <s v="April"/>
    <s v="Sunday"/>
    <b v="1"/>
    <s v="Premium"/>
  </r>
  <r>
    <s v="DUKA-0465"/>
    <s v="2026-03-07"/>
    <x v="0"/>
    <s v="Coast"/>
    <s v="Power Bank 20K"/>
    <s v="Accessories"/>
    <x v="1"/>
    <n v="1"/>
    <n v="4500"/>
    <n v="4500"/>
    <s v="March"/>
    <s v="Saturday"/>
    <b v="1"/>
    <s v="Value"/>
  </r>
  <r>
    <s v="DUKA-0466"/>
    <s v="2026-04-24"/>
    <x v="0"/>
    <s v="Coast"/>
    <s v="Smart Watch"/>
    <s v="Wearables"/>
    <x v="1"/>
    <n v="2"/>
    <n v="20900"/>
    <n v="41800"/>
    <s v="April"/>
    <s v="Friday"/>
    <b v="0"/>
    <s v="Value"/>
  </r>
  <r>
    <s v="DUKA-0467"/>
    <s v="2026-05-05"/>
    <x v="2"/>
    <s v="Central"/>
    <s v="4K Television 43in"/>
    <s v="Television"/>
    <x v="1"/>
    <n v="1"/>
    <n v="58100"/>
    <n v="58100"/>
    <s v="May"/>
    <s v="Tuesday"/>
    <b v="0"/>
    <s v="Premium"/>
  </r>
  <r>
    <s v="DUKA-0468"/>
    <s v="2026-01-01"/>
    <x v="3"/>
    <s v="Western"/>
    <s v="4K Television 43in"/>
    <s v="Television"/>
    <x v="0"/>
    <n v="1"/>
    <n v="53100"/>
    <n v="53100"/>
    <s v="January"/>
    <s v="Thursday"/>
    <b v="0"/>
    <s v="Premium"/>
  </r>
  <r>
    <s v="DUKA-0469"/>
    <s v="2026-02-20"/>
    <x v="7"/>
    <s v="Central"/>
    <s v="HD Television 32in"/>
    <s v="Television"/>
    <x v="0"/>
    <n v="2"/>
    <n v="27300"/>
    <n v="54600"/>
    <s v="February"/>
    <s v="Friday"/>
    <b v="0"/>
    <s v="Value"/>
  </r>
  <r>
    <s v="DUKA-0470"/>
    <s v="2026-01-28"/>
    <x v="7"/>
    <s v="Central"/>
    <s v="Bluetooth Speaker"/>
    <s v="Audio"/>
    <x v="1"/>
    <n v="1"/>
    <n v="6800"/>
    <n v="6800"/>
    <s v="January"/>
    <s v="Wednesday"/>
    <b v="0"/>
    <s v="Value"/>
  </r>
  <r>
    <s v="DUKA-0471"/>
    <s v="2026-05-06"/>
    <x v="0"/>
    <s v="Coast"/>
    <s v="4K Television 43in"/>
    <s v="Television"/>
    <x v="1"/>
    <n v="1"/>
    <n v="52700"/>
    <n v="52700"/>
    <s v="May"/>
    <s v="Wednesday"/>
    <b v="0"/>
    <s v="Premium"/>
  </r>
  <r>
    <s v="DUKA-0472"/>
    <s v="2026-03-17"/>
    <x v="5"/>
    <s v="Capital"/>
    <s v="Wireless Headphones"/>
    <s v="Audio"/>
    <x v="1"/>
    <n v="1"/>
    <n v="8800"/>
    <n v="8800"/>
    <s v="March"/>
    <s v="Tuesday"/>
    <b v="0"/>
    <s v="Value"/>
  </r>
  <r>
    <s v="DUKA-0473"/>
    <s v="2026-01-19"/>
    <x v="0"/>
    <s v="Coast"/>
    <s v="Bluetooth Speaker"/>
    <s v="Audio"/>
    <x v="1"/>
    <n v="2"/>
    <n v="6900"/>
    <n v="13800"/>
    <s v="January"/>
    <s v="Monday"/>
    <b v="0"/>
    <s v="Value"/>
  </r>
  <r>
    <s v="DUKA-0474"/>
    <s v="2026-02-22"/>
    <x v="3"/>
    <s v="Western"/>
    <s v="Chromebook Air"/>
    <s v="Computing"/>
    <x v="0"/>
    <n v="3"/>
    <n v="31700"/>
    <n v="95100"/>
    <s v="February"/>
    <s v="Sunday"/>
    <b v="1"/>
    <s v="Premium"/>
  </r>
  <r>
    <s v="DUKA-0475"/>
    <s v="2026-06-22"/>
    <x v="4"/>
    <s v="Rift Valley"/>
    <s v="Wi-Fi Router AX"/>
    <s v="Networking"/>
    <x v="1"/>
    <n v="1"/>
    <n v="12100"/>
    <n v="12100"/>
    <s v="June"/>
    <s v="Monday"/>
    <b v="0"/>
    <s v="Value"/>
  </r>
  <r>
    <s v="DUKA-0476"/>
    <s v="2026-05-03"/>
    <x v="6"/>
    <s v="Rift Valley"/>
    <s v="Wi-Fi Router AX"/>
    <s v="Networking"/>
    <x v="1"/>
    <n v="1"/>
    <n v="11300"/>
    <n v="11300"/>
    <s v="May"/>
    <s v="Sunday"/>
    <b v="1"/>
    <s v="Value"/>
  </r>
  <r>
    <s v="DUKA-0477"/>
    <s v="2026-03-13"/>
    <x v="4"/>
    <s v="Rift Valley"/>
    <s v="Wi-Fi Router AX"/>
    <s v="Networking"/>
    <x v="1"/>
    <n v="1"/>
    <n v="11500"/>
    <n v="11500"/>
    <s v="March"/>
    <s v="Friday"/>
    <b v="0"/>
    <s v="Value"/>
  </r>
  <r>
    <s v="DUKA-0478"/>
    <s v="2026-06-29"/>
    <x v="7"/>
    <s v="Central"/>
    <s v="Wireless Headphones"/>
    <s v="Audio"/>
    <x v="0"/>
    <n v="1"/>
    <n v="8200"/>
    <n v="8200"/>
    <s v="June"/>
    <s v="Monday"/>
    <b v="0"/>
    <s v="Value"/>
  </r>
  <r>
    <s v="DUKA-0479"/>
    <s v="2026-05-02"/>
    <x v="0"/>
    <s v="Coast"/>
    <s v="Wireless Headphones"/>
    <s v="Audio"/>
    <x v="0"/>
    <n v="1"/>
    <n v="8600"/>
    <n v="8600"/>
    <s v="May"/>
    <s v="Saturday"/>
    <b v="1"/>
    <s v="Value"/>
  </r>
  <r>
    <s v="DUKA-0480"/>
    <s v="2026-02-18"/>
    <x v="0"/>
    <s v="Coast"/>
    <s v="Bluetooth Speaker"/>
    <s v="Audio"/>
    <x v="1"/>
    <n v="3"/>
    <n v="6300"/>
    <n v="18900"/>
    <s v="February"/>
    <s v="Wednesday"/>
    <b v="0"/>
    <s v="Value"/>
  </r>
  <r>
    <s v="DUKA-0481"/>
    <s v="2026-01-29"/>
    <x v="7"/>
    <s v="Central"/>
    <s v="HD Television 32in"/>
    <s v="Television"/>
    <x v="1"/>
    <n v="3"/>
    <n v="26100"/>
    <n v="78300"/>
    <s v="January"/>
    <s v="Thursday"/>
    <b v="0"/>
    <s v="Value"/>
  </r>
  <r>
    <s v="DUKA-0482"/>
    <s v="2026-05-27"/>
    <x v="5"/>
    <s v="Capital"/>
    <s v="Power Bank 20K"/>
    <s v="Accessories"/>
    <x v="0"/>
    <n v="5"/>
    <n v="4500"/>
    <n v="22500"/>
    <s v="May"/>
    <s v="Wednesday"/>
    <b v="0"/>
    <s v="Value"/>
  </r>
  <r>
    <s v="DUKA-0483"/>
    <s v="2026-02-26"/>
    <x v="0"/>
    <s v="Coast"/>
    <s v="Smartphone X"/>
    <s v="Mobile"/>
    <x v="1"/>
    <n v="1"/>
    <n v="43900"/>
    <n v="43900"/>
    <s v="February"/>
    <s v="Thursday"/>
    <b v="0"/>
    <s v="Premium"/>
  </r>
  <r>
    <s v="DUKA-0484"/>
    <s v="2026-03-09"/>
    <x v="6"/>
    <s v="Rift Valley"/>
    <s v="Tablet 10in"/>
    <s v="Computing"/>
    <x v="1"/>
    <n v="3"/>
    <n v="28600"/>
    <n v="85800"/>
    <s v="March"/>
    <s v="Monday"/>
    <b v="0"/>
    <s v="Premium"/>
  </r>
  <r>
    <s v="DUKA-0485"/>
    <s v="2026-02-15"/>
    <x v="7"/>
    <s v="Central"/>
    <s v="Smart Watch"/>
    <s v="Wearables"/>
    <x v="1"/>
    <n v="2"/>
    <n v="22900"/>
    <n v="45800"/>
    <s v="February"/>
    <s v="Sunday"/>
    <b v="1"/>
    <s v="Value"/>
  </r>
  <r>
    <s v="DUKA-0486"/>
    <s v="2026-05-12"/>
    <x v="6"/>
    <s v="Rift Valley"/>
    <s v="Tablet 10in"/>
    <s v="Computing"/>
    <x v="1"/>
    <n v="5"/>
    <n v="29400"/>
    <n v="147000"/>
    <s v="May"/>
    <s v="Tuesday"/>
    <b v="0"/>
    <s v="Premium"/>
  </r>
  <r>
    <s v="DUKA-0487"/>
    <s v="2026-01-27"/>
    <x v="4"/>
    <s v="Rift Valley"/>
    <s v="Chromebook Air"/>
    <s v="Computing"/>
    <x v="1"/>
    <n v="1"/>
    <n v="30400"/>
    <n v="30400"/>
    <s v="January"/>
    <s v="Tuesday"/>
    <b v="0"/>
    <s v="Premium"/>
  </r>
  <r>
    <s v="DUKA-0488"/>
    <s v="2026-01-17"/>
    <x v="1"/>
    <s v="Capital"/>
    <s v="Bluetooth Speaker"/>
    <s v="Audio"/>
    <x v="0"/>
    <n v="1"/>
    <n v="6700"/>
    <n v="6700"/>
    <s v="January"/>
    <s v="Saturday"/>
    <b v="1"/>
    <s v="Value"/>
  </r>
  <r>
    <s v="DUKA-0489"/>
    <s v="2026-04-16"/>
    <x v="6"/>
    <s v="Rift Valley"/>
    <s v="4K Television 43in"/>
    <s v="Television"/>
    <x v="1"/>
    <n v="1"/>
    <n v="51800"/>
    <n v="51800"/>
    <s v="April"/>
    <s v="Thursday"/>
    <b v="0"/>
    <s v="Premium"/>
  </r>
  <r>
    <s v="DUKA-0490"/>
    <s v="2026-04-23"/>
    <x v="4"/>
    <s v="Rift Valley"/>
    <s v="Budget Smartphone"/>
    <s v="Mobile"/>
    <x v="1"/>
    <n v="2"/>
    <n v="19900"/>
    <n v="39800"/>
    <s v="April"/>
    <s v="Thursday"/>
    <b v="0"/>
    <s v="Value"/>
  </r>
  <r>
    <s v="DUKA-0491"/>
    <s v="2026-04-26"/>
    <x v="1"/>
    <s v="Capital"/>
    <s v="Wireless Headphones"/>
    <s v="Audio"/>
    <x v="1"/>
    <n v="1"/>
    <n v="9100"/>
    <n v="9100"/>
    <s v="April"/>
    <s v="Sunday"/>
    <b v="1"/>
    <s v="Value"/>
  </r>
  <r>
    <s v="DUKA-0492"/>
    <s v="2026-04-05"/>
    <x v="7"/>
    <s v="Central"/>
    <s v="Smartphone X"/>
    <s v="Mobile"/>
    <x v="1"/>
    <n v="1"/>
    <n v="39600"/>
    <n v="39600"/>
    <s v="April"/>
    <s v="Sunday"/>
    <b v="1"/>
    <s v="Premium"/>
  </r>
  <r>
    <s v="DUKA-0493"/>
    <s v="2026-02-14"/>
    <x v="2"/>
    <s v="Central"/>
    <s v="Budget Smartphone"/>
    <s v="Mobile"/>
    <x v="1"/>
    <n v="2"/>
    <n v="19500"/>
    <n v="39000"/>
    <s v="February"/>
    <s v="Saturday"/>
    <b v="1"/>
    <s v="Value"/>
  </r>
  <r>
    <s v="DUKA-0494"/>
    <s v="2026-05-31"/>
    <x v="1"/>
    <s v="Capital"/>
    <s v="Bluetooth Speaker"/>
    <s v="Audio"/>
    <x v="1"/>
    <n v="1"/>
    <n v="7000"/>
    <n v="7000"/>
    <s v="May"/>
    <s v="Sunday"/>
    <b v="1"/>
    <s v="Value"/>
  </r>
  <r>
    <s v="DUKA-0495"/>
    <s v="2026-06-27"/>
    <x v="0"/>
    <s v="Coast"/>
    <s v="Chromebook Air"/>
    <s v="Computing"/>
    <x v="1"/>
    <n v="3"/>
    <n v="31600"/>
    <n v="94800"/>
    <s v="June"/>
    <s v="Saturday"/>
    <b v="1"/>
    <s v="Premium"/>
  </r>
  <r>
    <s v="DUKA-0496"/>
    <s v="2026-01-22"/>
    <x v="5"/>
    <s v="Capital"/>
    <s v="Smartphone X"/>
    <s v="Mobile"/>
    <x v="0"/>
    <n v="1"/>
    <n v="39000"/>
    <n v="39000"/>
    <s v="January"/>
    <s v="Thursday"/>
    <b v="0"/>
    <s v="Premium"/>
  </r>
  <r>
    <s v="DUKA-0497"/>
    <s v="2026-02-25"/>
    <x v="7"/>
    <s v="Central"/>
    <s v="Smart Watch"/>
    <s v="Wearables"/>
    <x v="1"/>
    <n v="1"/>
    <n v="20800"/>
    <n v="20800"/>
    <s v="February"/>
    <s v="Wednesday"/>
    <b v="0"/>
    <s v="Value"/>
  </r>
  <r>
    <s v="DUKA-0498"/>
    <s v="2026-04-05"/>
    <x v="1"/>
    <s v="Capital"/>
    <s v="Budget Smartphone"/>
    <s v="Mobile"/>
    <x v="0"/>
    <n v="2"/>
    <n v="18300"/>
    <n v="36600"/>
    <s v="April"/>
    <s v="Sunday"/>
    <b v="1"/>
    <s v="Value"/>
  </r>
  <r>
    <s v="DUKA-0499"/>
    <s v="2026-03-17"/>
    <x v="4"/>
    <s v="Rift Valley"/>
    <s v="Laptop Pro 14"/>
    <s v="Computing"/>
    <x v="1"/>
    <n v="2"/>
    <n v="112300"/>
    <n v="224600"/>
    <s v="March"/>
    <s v="Tuesday"/>
    <b v="0"/>
    <s v="Premium"/>
  </r>
  <r>
    <s v="DUKA-0500"/>
    <s v="2026-06-06"/>
    <x v="3"/>
    <s v="Western"/>
    <s v="Laptop Pro 14"/>
    <s v="Computing"/>
    <x v="1"/>
    <n v="1"/>
    <n v="115500"/>
    <n v="115500"/>
    <s v="June"/>
    <s v="Saturday"/>
    <b v="1"/>
    <s v="Premium"/>
  </r>
  <r>
    <s v="DUKA-0501"/>
    <s v="2026-06-24"/>
    <x v="3"/>
    <s v="Western"/>
    <s v="4K Television 43in"/>
    <s v="Television"/>
    <x v="0"/>
    <n v="1"/>
    <n v="57200"/>
    <n v="57200"/>
    <s v="June"/>
    <s v="Wednesday"/>
    <b v="0"/>
    <s v="Premium"/>
  </r>
  <r>
    <s v="DUKA-0502"/>
    <s v="2026-05-06"/>
    <x v="7"/>
    <s v="Central"/>
    <s v="Tablet 10in"/>
    <s v="Computing"/>
    <x v="1"/>
    <n v="1"/>
    <n v="28800"/>
    <n v="28800"/>
    <s v="May"/>
    <s v="Wednesday"/>
    <b v="0"/>
    <s v="Premium"/>
  </r>
  <r>
    <s v="DUKA-0503"/>
    <s v="2026-03-14"/>
    <x v="2"/>
    <s v="Central"/>
    <s v="Smartphone X"/>
    <s v="Mobile"/>
    <x v="1"/>
    <n v="3"/>
    <n v="39300"/>
    <n v="117900"/>
    <s v="March"/>
    <s v="Saturday"/>
    <b v="1"/>
    <s v="Premium"/>
  </r>
  <r>
    <s v="DUKA-0504"/>
    <s v="2026-01-30"/>
    <x v="5"/>
    <s v="Capital"/>
    <s v="Budget Smartphone"/>
    <s v="Mobile"/>
    <x v="0"/>
    <n v="1"/>
    <n v="19500"/>
    <n v="19500"/>
    <s v="January"/>
    <s v="Friday"/>
    <b v="0"/>
    <s v="Value"/>
  </r>
  <r>
    <s v="DUKA-0505"/>
    <s v="2026-05-16"/>
    <x v="3"/>
    <s v="Western"/>
    <s v="Chromebook Air"/>
    <s v="Computing"/>
    <x v="1"/>
    <n v="1"/>
    <n v="32000"/>
    <n v="32000"/>
    <s v="May"/>
    <s v="Saturday"/>
    <b v="1"/>
    <s v="Premium"/>
  </r>
  <r>
    <s v="DUKA-0506"/>
    <s v="2026-06-04"/>
    <x v="7"/>
    <s v="Central"/>
    <s v="Budget Smartphone"/>
    <s v="Mobile"/>
    <x v="1"/>
    <n v="4"/>
    <n v="18000"/>
    <n v="72000"/>
    <s v="June"/>
    <s v="Thursday"/>
    <b v="0"/>
    <s v="Value"/>
  </r>
  <r>
    <s v="DUKA-0507"/>
    <s v="2026-06-24"/>
    <x v="3"/>
    <s v="Western"/>
    <s v="Smartphone X"/>
    <s v="Mobile"/>
    <x v="1"/>
    <n v="1"/>
    <n v="45300"/>
    <n v="45300"/>
    <s v="June"/>
    <s v="Wednesday"/>
    <b v="0"/>
    <s v="Premium"/>
  </r>
  <r>
    <s v="DUKA-0508"/>
    <s v="2026-02-11"/>
    <x v="1"/>
    <s v="Capital"/>
    <s v="Smart Watch"/>
    <s v="Wearables"/>
    <x v="0"/>
    <n v="2"/>
    <n v="22700"/>
    <n v="45400"/>
    <s v="February"/>
    <s v="Wednesday"/>
    <b v="0"/>
    <s v="Value"/>
  </r>
  <r>
    <s v="DUKA-0509"/>
    <s v="2026-04-23"/>
    <x v="5"/>
    <s v="Capital"/>
    <s v="Laptop Pro 14"/>
    <s v="Computing"/>
    <x v="0"/>
    <n v="4"/>
    <n v="114200"/>
    <n v="456800"/>
    <s v="April"/>
    <s v="Thursday"/>
    <b v="0"/>
    <s v="Premium"/>
  </r>
  <r>
    <s v="DUKA-0510"/>
    <s v="2026-01-14"/>
    <x v="1"/>
    <s v="Capital"/>
    <s v="HD Television 32in"/>
    <s v="Television"/>
    <x v="0"/>
    <n v="1"/>
    <n v="28100"/>
    <n v="28100"/>
    <s v="January"/>
    <s v="Wednesday"/>
    <b v="0"/>
    <s v="Premium"/>
  </r>
  <r>
    <s v="DUKA-0511"/>
    <s v="2026-06-22"/>
    <x v="3"/>
    <s v="Western"/>
    <s v="Smart Watch"/>
    <s v="Wearables"/>
    <x v="1"/>
    <n v="1"/>
    <n v="21500"/>
    <n v="21500"/>
    <s v="June"/>
    <s v="Monday"/>
    <b v="0"/>
    <s v="Value"/>
  </r>
  <r>
    <s v="DUKA-0512"/>
    <s v="2026-01-16"/>
    <x v="7"/>
    <s v="Central"/>
    <s v="Wi-Fi Router AX"/>
    <s v="Networking"/>
    <x v="1"/>
    <n v="1"/>
    <n v="11700"/>
    <n v="11700"/>
    <s v="January"/>
    <s v="Friday"/>
    <b v="0"/>
    <s v="Value"/>
  </r>
  <r>
    <s v="DUKA-0513"/>
    <s v="2026-05-23"/>
    <x v="4"/>
    <s v="Rift Valley"/>
    <s v="Smartphone X"/>
    <s v="Mobile"/>
    <x v="1"/>
    <n v="1"/>
    <n v="43700"/>
    <n v="43700"/>
    <s v="May"/>
    <s v="Saturday"/>
    <b v="1"/>
    <s v="Premium"/>
  </r>
  <r>
    <s v="DUKA-0514"/>
    <s v="2026-05-22"/>
    <x v="6"/>
    <s v="Rift Valley"/>
    <s v="Wireless Headphones"/>
    <s v="Audio"/>
    <x v="0"/>
    <n v="1"/>
    <n v="8900"/>
    <n v="8900"/>
    <s v="May"/>
    <s v="Friday"/>
    <b v="0"/>
    <s v="Value"/>
  </r>
  <r>
    <s v="DUKA-0515"/>
    <s v="2026-03-25"/>
    <x v="0"/>
    <s v="Coast"/>
    <s v="Smartphone X"/>
    <s v="Mobile"/>
    <x v="1"/>
    <n v="1"/>
    <n v="44000"/>
    <n v="44000"/>
    <s v="March"/>
    <s v="Wednesday"/>
    <b v="0"/>
    <s v="Premium"/>
  </r>
  <r>
    <s v="DUKA-0516"/>
    <s v="2026-06-02"/>
    <x v="6"/>
    <s v="Rift Valley"/>
    <s v="Tablet 10in"/>
    <s v="Computing"/>
    <x v="1"/>
    <n v="1"/>
    <n v="28000"/>
    <n v="28000"/>
    <s v="June"/>
    <s v="Tuesday"/>
    <b v="0"/>
    <s v="Premium"/>
  </r>
  <r>
    <s v="DUKA-0517"/>
    <s v="2026-01-12"/>
    <x v="1"/>
    <s v="Capital"/>
    <s v="Bluetooth Speaker"/>
    <s v="Audio"/>
    <x v="0"/>
    <n v="3"/>
    <n v="6900"/>
    <n v="20700"/>
    <s v="January"/>
    <s v="Monday"/>
    <b v="0"/>
    <s v="Value"/>
  </r>
  <r>
    <s v="DUKA-0518"/>
    <s v="2026-06-09"/>
    <x v="2"/>
    <s v="Central"/>
    <s v="Tablet 10in"/>
    <s v="Computing"/>
    <x v="0"/>
    <n v="1"/>
    <n v="27400"/>
    <n v="27400"/>
    <s v="June"/>
    <s v="Tuesday"/>
    <b v="0"/>
    <s v="Value"/>
  </r>
  <r>
    <s v="DUKA-0519"/>
    <s v="2026-03-07"/>
    <x v="4"/>
    <s v="Rift Valley"/>
    <s v="Wireless Headphones"/>
    <s v="Audio"/>
    <x v="1"/>
    <n v="3"/>
    <n v="7900"/>
    <n v="23700"/>
    <s v="March"/>
    <s v="Saturday"/>
    <b v="1"/>
    <s v="Value"/>
  </r>
  <r>
    <s v="DUKA-0520"/>
    <s v="2026-05-17"/>
    <x v="0"/>
    <s v="Coast"/>
    <s v="4K Television 43in"/>
    <s v="Television"/>
    <x v="1"/>
    <n v="1"/>
    <n v="53000"/>
    <n v="53000"/>
    <s v="May"/>
    <s v="Sunday"/>
    <b v="1"/>
    <s v="Premium"/>
  </r>
  <r>
    <s v="DUKA-0521"/>
    <s v="2026-01-23"/>
    <x v="4"/>
    <s v="Rift Valley"/>
    <s v="Smartphone X"/>
    <s v="Mobile"/>
    <x v="0"/>
    <n v="2"/>
    <n v="45000"/>
    <n v="90000"/>
    <s v="January"/>
    <s v="Friday"/>
    <b v="0"/>
    <s v="Premium"/>
  </r>
  <r>
    <s v="DUKA-0522"/>
    <s v="2026-06-11"/>
    <x v="0"/>
    <s v="Coast"/>
    <s v="Tablet 10in"/>
    <s v="Computing"/>
    <x v="0"/>
    <n v="1"/>
    <n v="29400"/>
    <n v="29400"/>
    <s v="June"/>
    <s v="Thursday"/>
    <b v="0"/>
    <s v="Premium"/>
  </r>
  <r>
    <s v="DUKA-0523"/>
    <s v="2026-01-28"/>
    <x v="3"/>
    <s v="Western"/>
    <s v="Smart Watch"/>
    <s v="Wearables"/>
    <x v="1"/>
    <n v="1"/>
    <n v="22700"/>
    <n v="22700"/>
    <s v="January"/>
    <s v="Wednesday"/>
    <b v="0"/>
    <s v="Value"/>
  </r>
  <r>
    <s v="DUKA-0524"/>
    <s v="2026-06-17"/>
    <x v="0"/>
    <s v="Coast"/>
    <s v="4K Television 43in"/>
    <s v="Television"/>
    <x v="0"/>
    <n v="2"/>
    <n v="52400"/>
    <n v="104800"/>
    <s v="June"/>
    <s v="Wednesday"/>
    <b v="0"/>
    <s v="Premium"/>
  </r>
  <r>
    <s v="DUKA-0525"/>
    <s v="2026-02-23"/>
    <x v="5"/>
    <s v="Capital"/>
    <s v="Laptop Pro 14"/>
    <s v="Computing"/>
    <x v="1"/>
    <n v="1"/>
    <n v="117300"/>
    <n v="117300"/>
    <s v="February"/>
    <s v="Monday"/>
    <b v="0"/>
    <s v="Premium"/>
  </r>
  <r>
    <s v="DUKA-0526"/>
    <s v="2026-04-08"/>
    <x v="0"/>
    <s v="Coast"/>
    <s v="Bluetooth Speaker"/>
    <s v="Audio"/>
    <x v="0"/>
    <n v="2"/>
    <n v="6700"/>
    <n v="13400"/>
    <s v="April"/>
    <s v="Wednesday"/>
    <b v="0"/>
    <s v="Value"/>
  </r>
  <r>
    <s v="DUKA-0527"/>
    <s v="2026-05-05"/>
    <x v="0"/>
    <s v="Coast"/>
    <s v="Bluetooth Speaker"/>
    <s v="Audio"/>
    <x v="1"/>
    <n v="2"/>
    <n v="6700"/>
    <n v="13400"/>
    <s v="May"/>
    <s v="Tuesday"/>
    <b v="0"/>
    <s v="Value"/>
  </r>
  <r>
    <s v="DUKA-0528"/>
    <s v="2026-04-25"/>
    <x v="4"/>
    <s v="Rift Valley"/>
    <s v="Power Bank 20K"/>
    <s v="Accessories"/>
    <x v="0"/>
    <n v="4"/>
    <n v="4400"/>
    <n v="17600"/>
    <s v="April"/>
    <s v="Saturday"/>
    <b v="1"/>
    <s v="Value"/>
  </r>
  <r>
    <s v="DUKA-0529"/>
    <s v="2026-04-11"/>
    <x v="0"/>
    <s v="Coast"/>
    <s v="Chromebook Air"/>
    <s v="Computing"/>
    <x v="1"/>
    <n v="1"/>
    <n v="32900"/>
    <n v="32900"/>
    <s v="April"/>
    <s v="Saturday"/>
    <b v="1"/>
    <s v="Premium"/>
  </r>
  <r>
    <s v="DUKA-0530"/>
    <s v="2026-06-22"/>
    <x v="5"/>
    <s v="Capital"/>
    <s v="HD Television 32in"/>
    <s v="Television"/>
    <x v="1"/>
    <n v="2"/>
    <n v="26900"/>
    <n v="53800"/>
    <s v="June"/>
    <s v="Monday"/>
    <b v="0"/>
    <s v="Value"/>
  </r>
  <r>
    <s v="DUKA-0531"/>
    <s v="2026-04-20"/>
    <x v="5"/>
    <s v="Capital"/>
    <s v="Power Bank 20K"/>
    <s v="Accessories"/>
    <x v="0"/>
    <n v="1"/>
    <n v="4400"/>
    <n v="4400"/>
    <s v="April"/>
    <s v="Monday"/>
    <b v="0"/>
    <s v="Value"/>
  </r>
  <r>
    <s v="DUKA-0532"/>
    <s v="2026-04-04"/>
    <x v="5"/>
    <s v="Capital"/>
    <s v="Laptop Pro 14"/>
    <s v="Computing"/>
    <x v="1"/>
    <n v="1"/>
    <n v="124200"/>
    <n v="124200"/>
    <s v="April"/>
    <s v="Saturday"/>
    <b v="1"/>
    <s v="Premium"/>
  </r>
  <r>
    <s v="DUKA-0533"/>
    <s v="2026-01-14"/>
    <x v="6"/>
    <s v="Rift Valley"/>
    <s v="Power Bank 20K"/>
    <s v="Accessories"/>
    <x v="0"/>
    <n v="1"/>
    <n v="4500"/>
    <n v="4500"/>
    <s v="January"/>
    <s v="Wednesday"/>
    <b v="0"/>
    <s v="Value"/>
  </r>
  <r>
    <s v="DUKA-0534"/>
    <s v="2026-02-13"/>
    <x v="6"/>
    <s v="Rift Valley"/>
    <s v="4K Television 43in"/>
    <s v="Television"/>
    <x v="1"/>
    <n v="1"/>
    <n v="55800"/>
    <n v="55800"/>
    <s v="February"/>
    <s v="Friday"/>
    <b v="0"/>
    <s v="Premium"/>
  </r>
  <r>
    <s v="DUKA-0535"/>
    <s v="2026-03-24"/>
    <x v="3"/>
    <s v="Western"/>
    <s v="Laptop Pro 14"/>
    <s v="Computing"/>
    <x v="1"/>
    <n v="1"/>
    <n v="112000"/>
    <n v="112000"/>
    <s v="March"/>
    <s v="Tuesday"/>
    <b v="0"/>
    <s v="Premium"/>
  </r>
  <r>
    <s v="DUKA-0536"/>
    <s v="2026-06-19"/>
    <x v="3"/>
    <s v="Western"/>
    <s v="Smartphone X"/>
    <s v="Mobile"/>
    <x v="1"/>
    <n v="1"/>
    <n v="42800"/>
    <n v="42800"/>
    <s v="June"/>
    <s v="Friday"/>
    <b v="0"/>
    <s v="Premium"/>
  </r>
  <r>
    <s v="DUKA-0537"/>
    <s v="2026-04-05"/>
    <x v="4"/>
    <s v="Rift Valley"/>
    <s v="Smart Watch"/>
    <s v="Wearables"/>
    <x v="1"/>
    <n v="1"/>
    <n v="21400"/>
    <n v="21400"/>
    <s v="April"/>
    <s v="Sunday"/>
    <b v="1"/>
    <s v="Value"/>
  </r>
  <r>
    <s v="DUKA-0538"/>
    <s v="2026-01-10"/>
    <x v="7"/>
    <s v="Central"/>
    <s v="Smart Watch"/>
    <s v="Wearables"/>
    <x v="0"/>
    <n v="1"/>
    <n v="20900"/>
    <n v="20900"/>
    <s v="January"/>
    <s v="Saturday"/>
    <b v="1"/>
    <s v="Value"/>
  </r>
  <r>
    <s v="DUKA-0539"/>
    <s v="2026-02-07"/>
    <x v="3"/>
    <s v="Western"/>
    <s v="Smartphone X"/>
    <s v="Mobile"/>
    <x v="1"/>
    <n v="3"/>
    <n v="42600"/>
    <n v="127800"/>
    <s v="February"/>
    <s v="Saturday"/>
    <b v="1"/>
    <s v="Premium"/>
  </r>
  <r>
    <s v="DUKA-0540"/>
    <s v="2026-04-16"/>
    <x v="6"/>
    <s v="Rift Valley"/>
    <s v="4K Television 43in"/>
    <s v="Television"/>
    <x v="1"/>
    <n v="1"/>
    <n v="57900"/>
    <n v="57900"/>
    <s v="April"/>
    <s v="Thursday"/>
    <b v="0"/>
    <s v="Premium"/>
  </r>
  <r>
    <s v="DUKA-0541"/>
    <s v="2026-01-26"/>
    <x v="1"/>
    <s v="Capital"/>
    <s v="Budget Smartphone"/>
    <s v="Mobile"/>
    <x v="0"/>
    <n v="5"/>
    <n v="18600"/>
    <n v="93000"/>
    <s v="January"/>
    <s v="Monday"/>
    <b v="0"/>
    <s v="Value"/>
  </r>
  <r>
    <s v="DUKA-0542"/>
    <s v="2026-06-18"/>
    <x v="0"/>
    <s v="Coast"/>
    <s v="Smartphone X"/>
    <s v="Mobile"/>
    <x v="0"/>
    <n v="1"/>
    <n v="41800"/>
    <n v="41800"/>
    <s v="June"/>
    <s v="Thursday"/>
    <b v="0"/>
    <s v="Premium"/>
  </r>
  <r>
    <s v="DUKA-0543"/>
    <s v="2026-02-06"/>
    <x v="7"/>
    <s v="Central"/>
    <s v="Smartphone X"/>
    <s v="Mobile"/>
    <x v="1"/>
    <n v="5"/>
    <n v="43300"/>
    <n v="216500"/>
    <s v="February"/>
    <s v="Friday"/>
    <b v="0"/>
    <s v="Premium"/>
  </r>
  <r>
    <s v="DUKA-0544"/>
    <s v="2026-05-15"/>
    <x v="5"/>
    <s v="Capital"/>
    <s v="Tablet 10in"/>
    <s v="Computing"/>
    <x v="0"/>
    <n v="1"/>
    <n v="28100"/>
    <n v="28100"/>
    <s v="May"/>
    <s v="Friday"/>
    <b v="0"/>
    <s v="Premium"/>
  </r>
  <r>
    <s v="DUKA-0545"/>
    <s v="2026-05-17"/>
    <x v="3"/>
    <s v="Western"/>
    <s v="4K Television 43in"/>
    <s v="Television"/>
    <x v="1"/>
    <n v="1"/>
    <n v="56900"/>
    <n v="56900"/>
    <s v="May"/>
    <s v="Sunday"/>
    <b v="1"/>
    <s v="Premium"/>
  </r>
  <r>
    <s v="DUKA-0546"/>
    <s v="2026-04-20"/>
    <x v="1"/>
    <s v="Capital"/>
    <s v="Tablet 10in"/>
    <s v="Computing"/>
    <x v="1"/>
    <n v="1"/>
    <n v="30500"/>
    <n v="30500"/>
    <s v="April"/>
    <s v="Monday"/>
    <b v="0"/>
    <s v="Premium"/>
  </r>
  <r>
    <s v="DUKA-0547"/>
    <s v="2026-04-15"/>
    <x v="6"/>
    <s v="Rift Valley"/>
    <s v="Power Bank 20K"/>
    <s v="Accessories"/>
    <x v="1"/>
    <n v="1"/>
    <n v="4700"/>
    <n v="4700"/>
    <s v="April"/>
    <s v="Wednesday"/>
    <b v="0"/>
    <s v="Value"/>
  </r>
  <r>
    <s v="DUKA-0548"/>
    <s v="2026-03-30"/>
    <x v="6"/>
    <s v="Rift Valley"/>
    <s v="Wi-Fi Router AX"/>
    <s v="Networking"/>
    <x v="0"/>
    <n v="3"/>
    <n v="11900"/>
    <n v="35700"/>
    <s v="March"/>
    <s v="Monday"/>
    <b v="0"/>
    <s v="Value"/>
  </r>
  <r>
    <s v="DUKA-0549"/>
    <s v="2026-02-06"/>
    <x v="0"/>
    <s v="Coast"/>
    <s v="Budget Smartphone"/>
    <s v="Mobile"/>
    <x v="1"/>
    <n v="1"/>
    <n v="18300"/>
    <n v="18300"/>
    <s v="February"/>
    <s v="Friday"/>
    <b v="0"/>
    <s v="Value"/>
  </r>
  <r>
    <s v="DUKA-0550"/>
    <s v="2026-02-19"/>
    <x v="4"/>
    <s v="Rift Valley"/>
    <s v="Bluetooth Speaker"/>
    <s v="Audio"/>
    <x v="0"/>
    <n v="1"/>
    <n v="7000"/>
    <n v="7000"/>
    <s v="February"/>
    <s v="Thursday"/>
    <b v="0"/>
    <s v="Value"/>
  </r>
  <r>
    <s v="DUKA-0551"/>
    <s v="2026-03-23"/>
    <x v="6"/>
    <s v="Rift Valley"/>
    <s v="4K Television 43in"/>
    <s v="Television"/>
    <x v="1"/>
    <n v="1"/>
    <n v="56700"/>
    <n v="56700"/>
    <s v="March"/>
    <s v="Monday"/>
    <b v="0"/>
    <s v="Premium"/>
  </r>
  <r>
    <s v="DUKA-0552"/>
    <s v="2026-04-12"/>
    <x v="7"/>
    <s v="Central"/>
    <s v="HD Television 32in"/>
    <s v="Television"/>
    <x v="0"/>
    <n v="1"/>
    <n v="26200"/>
    <n v="26200"/>
    <s v="April"/>
    <s v="Sunday"/>
    <b v="1"/>
    <s v="Value"/>
  </r>
  <r>
    <s v="DUKA-0553"/>
    <s v="2026-06-06"/>
    <x v="2"/>
    <s v="Central"/>
    <s v="Budget Smartphone"/>
    <s v="Mobile"/>
    <x v="1"/>
    <n v="5"/>
    <n v="19500"/>
    <n v="97500"/>
    <s v="June"/>
    <s v="Saturday"/>
    <b v="1"/>
    <s v="Value"/>
  </r>
  <r>
    <s v="DUKA-0554"/>
    <s v="2026-05-14"/>
    <x v="0"/>
    <s v="Coast"/>
    <s v="Smartphone X"/>
    <s v="Mobile"/>
    <x v="1"/>
    <n v="1"/>
    <n v="44400"/>
    <n v="44400"/>
    <s v="May"/>
    <s v="Thursday"/>
    <b v="0"/>
    <s v="Premium"/>
  </r>
  <r>
    <s v="DUKA-0555"/>
    <s v="2026-06-28"/>
    <x v="4"/>
    <s v="Rift Valley"/>
    <s v="HD Television 32in"/>
    <s v="Television"/>
    <x v="0"/>
    <n v="2"/>
    <n v="28300"/>
    <n v="56600"/>
    <s v="June"/>
    <s v="Sunday"/>
    <b v="1"/>
    <s v="Premium"/>
  </r>
  <r>
    <s v="DUKA-0556"/>
    <s v="2026-04-12"/>
    <x v="4"/>
    <s v="Rift Valley"/>
    <s v="Budget Smartphone"/>
    <s v="Mobile"/>
    <x v="1"/>
    <n v="1"/>
    <n v="18200"/>
    <n v="18200"/>
    <s v="April"/>
    <s v="Sunday"/>
    <b v="1"/>
    <s v="Value"/>
  </r>
  <r>
    <s v="DUKA-0557"/>
    <s v="2026-03-23"/>
    <x v="4"/>
    <s v="Rift Valley"/>
    <s v="Tablet 10in"/>
    <s v="Computing"/>
    <x v="0"/>
    <n v="5"/>
    <n v="28200"/>
    <n v="141000"/>
    <s v="March"/>
    <s v="Monday"/>
    <b v="0"/>
    <s v="Premium"/>
  </r>
  <r>
    <s v="DUKA-0558"/>
    <s v="2026-05-19"/>
    <x v="0"/>
    <s v="Coast"/>
    <s v="Chromebook Air"/>
    <s v="Computing"/>
    <x v="1"/>
    <n v="2"/>
    <n v="33900"/>
    <n v="67800"/>
    <s v="May"/>
    <s v="Tuesday"/>
    <b v="0"/>
    <s v="Premium"/>
  </r>
  <r>
    <s v="DUKA-0559"/>
    <s v="2026-03-29"/>
    <x v="1"/>
    <s v="Capital"/>
    <s v="Tablet 10in"/>
    <s v="Computing"/>
    <x v="1"/>
    <n v="1"/>
    <n v="27700"/>
    <n v="27700"/>
    <s v="March"/>
    <s v="Sunday"/>
    <b v="1"/>
    <s v="Value"/>
  </r>
  <r>
    <s v="DUKA-0560"/>
    <s v="2026-06-25"/>
    <x v="7"/>
    <s v="Central"/>
    <s v="Wireless Headphones"/>
    <s v="Audio"/>
    <x v="1"/>
    <n v="4"/>
    <n v="8000"/>
    <n v="32000"/>
    <s v="June"/>
    <s v="Thursday"/>
    <b v="0"/>
    <s v="Value"/>
  </r>
  <r>
    <s v="DUKA-0561"/>
    <s v="2026-04-09"/>
    <x v="3"/>
    <s v="Western"/>
    <s v="Bluetooth Speaker"/>
    <s v="Audio"/>
    <x v="1"/>
    <n v="2"/>
    <n v="7200"/>
    <n v="14400"/>
    <s v="April"/>
    <s v="Thursday"/>
    <b v="0"/>
    <s v="Value"/>
  </r>
  <r>
    <s v="DUKA-0562"/>
    <s v="2026-04-26"/>
    <x v="3"/>
    <s v="Western"/>
    <s v="Power Bank 20K"/>
    <s v="Accessories"/>
    <x v="0"/>
    <n v="2"/>
    <n v="4700"/>
    <n v="9400"/>
    <s v="April"/>
    <s v="Sunday"/>
    <b v="1"/>
    <s v="Value"/>
  </r>
  <r>
    <s v="DUKA-0563"/>
    <s v="2026-06-19"/>
    <x v="0"/>
    <s v="Coast"/>
    <s v="Smart Watch"/>
    <s v="Wearables"/>
    <x v="1"/>
    <n v="4"/>
    <n v="23400"/>
    <n v="93600"/>
    <s v="June"/>
    <s v="Friday"/>
    <b v="0"/>
    <s v="Value"/>
  </r>
  <r>
    <s v="DUKA-0564"/>
    <s v="2026-05-09"/>
    <x v="6"/>
    <s v="Rift Valley"/>
    <s v="Laptop Pro 14"/>
    <s v="Computing"/>
    <x v="1"/>
    <n v="2"/>
    <n v="110900"/>
    <n v="221800"/>
    <s v="May"/>
    <s v="Saturday"/>
    <b v="1"/>
    <s v="Premium"/>
  </r>
  <r>
    <s v="DUKA-0565"/>
    <s v="2026-03-09"/>
    <x v="1"/>
    <s v="Capital"/>
    <s v="Bluetooth Speaker"/>
    <s v="Audio"/>
    <x v="1"/>
    <n v="1"/>
    <n v="6900"/>
    <n v="6900"/>
    <s v="March"/>
    <s v="Monday"/>
    <b v="0"/>
    <s v="Value"/>
  </r>
  <r>
    <s v="DUKA-0566"/>
    <s v="2026-06-03"/>
    <x v="6"/>
    <s v="Rift Valley"/>
    <s v="Budget Smartphone"/>
    <s v="Mobile"/>
    <x v="0"/>
    <n v="1"/>
    <n v="19400"/>
    <n v="19400"/>
    <s v="June"/>
    <s v="Wednesday"/>
    <b v="0"/>
    <s v="Value"/>
  </r>
  <r>
    <s v="DUKA-0567"/>
    <s v="2026-06-17"/>
    <x v="2"/>
    <s v="Central"/>
    <s v="Wi-Fi Router AX"/>
    <s v="Networking"/>
    <x v="1"/>
    <n v="1"/>
    <n v="12300"/>
    <n v="12300"/>
    <s v="June"/>
    <s v="Wednesday"/>
    <b v="0"/>
    <s v="Value"/>
  </r>
  <r>
    <s v="DUKA-0568"/>
    <s v="2026-04-11"/>
    <x v="5"/>
    <s v="Capital"/>
    <s v="Wi-Fi Router AX"/>
    <s v="Networking"/>
    <x v="1"/>
    <n v="1"/>
    <n v="11400"/>
    <n v="11400"/>
    <s v="April"/>
    <s v="Saturday"/>
    <b v="1"/>
    <s v="Value"/>
  </r>
  <r>
    <s v="DUKA-0569"/>
    <s v="2026-06-02"/>
    <x v="7"/>
    <s v="Central"/>
    <s v="Budget Smartphone"/>
    <s v="Mobile"/>
    <x v="1"/>
    <n v="1"/>
    <n v="19200"/>
    <n v="19200"/>
    <s v="June"/>
    <s v="Tuesday"/>
    <b v="0"/>
    <s v="Value"/>
  </r>
  <r>
    <s v="DUKA-0570"/>
    <s v="2026-02-22"/>
    <x v="1"/>
    <s v="Capital"/>
    <s v="Smart Watch"/>
    <s v="Wearables"/>
    <x v="0"/>
    <n v="1"/>
    <n v="22500"/>
    <n v="22500"/>
    <s v="February"/>
    <s v="Sunday"/>
    <b v="1"/>
    <s v="Value"/>
  </r>
  <r>
    <s v="DUKA-0571"/>
    <s v="2026-03-29"/>
    <x v="6"/>
    <s v="Rift Valley"/>
    <s v="Tablet 10in"/>
    <s v="Computing"/>
    <x v="0"/>
    <n v="1"/>
    <n v="31500"/>
    <n v="31500"/>
    <s v="March"/>
    <s v="Sunday"/>
    <b v="1"/>
    <s v="Premium"/>
  </r>
  <r>
    <s v="DUKA-0572"/>
    <s v="2026-05-24"/>
    <x v="4"/>
    <s v="Rift Valley"/>
    <s v="Smart Watch"/>
    <s v="Wearables"/>
    <x v="1"/>
    <n v="1"/>
    <n v="23300"/>
    <n v="23300"/>
    <s v="May"/>
    <s v="Sunday"/>
    <b v="1"/>
    <s v="Value"/>
  </r>
  <r>
    <s v="DUKA-0573"/>
    <s v="2026-02-04"/>
    <x v="1"/>
    <s v="Capital"/>
    <s v="Power Bank 20K"/>
    <s v="Accessories"/>
    <x v="1"/>
    <n v="1"/>
    <n v="4300"/>
    <n v="4300"/>
    <s v="February"/>
    <s v="Wednesday"/>
    <b v="0"/>
    <s v="Value"/>
  </r>
  <r>
    <s v="DUKA-0574"/>
    <s v="2026-05-30"/>
    <x v="0"/>
    <s v="Coast"/>
    <s v="Wi-Fi Router AX"/>
    <s v="Networking"/>
    <x v="1"/>
    <n v="1"/>
    <n v="12800"/>
    <n v="12800"/>
    <s v="May"/>
    <s v="Saturday"/>
    <b v="1"/>
    <s v="Value"/>
  </r>
  <r>
    <s v="DUKA-0575"/>
    <s v="2026-06-16"/>
    <x v="0"/>
    <s v="Coast"/>
    <s v="Chromebook Air"/>
    <s v="Computing"/>
    <x v="1"/>
    <n v="1"/>
    <n v="30600"/>
    <n v="30600"/>
    <s v="June"/>
    <s v="Tuesday"/>
    <b v="0"/>
    <s v="Premium"/>
  </r>
  <r>
    <s v="DUKA-0576"/>
    <s v="2026-06-27"/>
    <x v="0"/>
    <s v="Coast"/>
    <s v="Tablet 10in"/>
    <s v="Computing"/>
    <x v="1"/>
    <n v="1"/>
    <n v="28000"/>
    <n v="28000"/>
    <s v="June"/>
    <s v="Saturday"/>
    <b v="1"/>
    <s v="Premium"/>
  </r>
  <r>
    <s v="DUKA-0577"/>
    <s v="2026-01-28"/>
    <x v="4"/>
    <s v="Rift Valley"/>
    <s v="Chromebook Air"/>
    <s v="Computing"/>
    <x v="0"/>
    <n v="1"/>
    <n v="31300"/>
    <n v="31300"/>
    <s v="January"/>
    <s v="Wednesday"/>
    <b v="0"/>
    <s v="Premium"/>
  </r>
  <r>
    <s v="DUKA-0578"/>
    <s v="2026-01-04"/>
    <x v="6"/>
    <s v="Rift Valley"/>
    <s v="4K Television 43in"/>
    <s v="Television"/>
    <x v="1"/>
    <n v="1"/>
    <n v="53300"/>
    <n v="53300"/>
    <s v="January"/>
    <s v="Sunday"/>
    <b v="1"/>
    <s v="Premium"/>
  </r>
  <r>
    <s v="DUKA-0579"/>
    <s v="2026-03-07"/>
    <x v="0"/>
    <s v="Coast"/>
    <s v="Wi-Fi Router AX"/>
    <s v="Networking"/>
    <x v="0"/>
    <n v="1"/>
    <n v="12900"/>
    <n v="12900"/>
    <s v="March"/>
    <s v="Saturday"/>
    <b v="1"/>
    <s v="Value"/>
  </r>
  <r>
    <s v="DUKA-0580"/>
    <s v="2026-04-02"/>
    <x v="5"/>
    <s v="Capital"/>
    <s v="Power Bank 20K"/>
    <s v="Accessories"/>
    <x v="0"/>
    <n v="2"/>
    <n v="4800"/>
    <n v="9600"/>
    <s v="April"/>
    <s v="Thursday"/>
    <b v="0"/>
    <s v="Value"/>
  </r>
  <r>
    <s v="DUKA-0581"/>
    <s v="2026-04-04"/>
    <x v="5"/>
    <s v="Capital"/>
    <s v="Chromebook Air"/>
    <s v="Computing"/>
    <x v="1"/>
    <n v="1"/>
    <n v="33700"/>
    <n v="33700"/>
    <s v="April"/>
    <s v="Saturday"/>
    <b v="1"/>
    <s v="Premium"/>
  </r>
  <r>
    <s v="DUKA-0582"/>
    <s v="2026-01-12"/>
    <x v="2"/>
    <s v="Central"/>
    <s v="Bluetooth Speaker"/>
    <s v="Audio"/>
    <x v="0"/>
    <n v="3"/>
    <n v="7300"/>
    <n v="21900"/>
    <s v="January"/>
    <s v="Monday"/>
    <b v="0"/>
    <s v="Value"/>
  </r>
  <r>
    <s v="DUKA-0583"/>
    <s v="2026-05-01"/>
    <x v="6"/>
    <s v="Rift Valley"/>
    <s v="Bluetooth Speaker"/>
    <s v="Audio"/>
    <x v="0"/>
    <n v="2"/>
    <n v="6300"/>
    <n v="12600"/>
    <s v="May"/>
    <s v="Friday"/>
    <b v="0"/>
    <s v="Value"/>
  </r>
  <r>
    <s v="DUKA-0584"/>
    <s v="2026-03-31"/>
    <x v="2"/>
    <s v="Central"/>
    <s v="Wireless Headphones"/>
    <s v="Audio"/>
    <x v="0"/>
    <n v="3"/>
    <n v="9200"/>
    <n v="27600"/>
    <s v="March"/>
    <s v="Tuesday"/>
    <b v="0"/>
    <s v="Value"/>
  </r>
  <r>
    <s v="DUKA-0585"/>
    <s v="2026-03-04"/>
    <x v="6"/>
    <s v="Rift Valley"/>
    <s v="Chromebook Air"/>
    <s v="Computing"/>
    <x v="1"/>
    <n v="1"/>
    <n v="31300"/>
    <n v="31300"/>
    <s v="March"/>
    <s v="Wednesday"/>
    <b v="0"/>
    <s v="Premium"/>
  </r>
  <r>
    <s v="DUKA-0586"/>
    <s v="2026-03-28"/>
    <x v="5"/>
    <s v="Capital"/>
    <s v="Smart Watch"/>
    <s v="Wearables"/>
    <x v="1"/>
    <n v="1"/>
    <n v="22400"/>
    <n v="22400"/>
    <s v="March"/>
    <s v="Saturday"/>
    <b v="1"/>
    <s v="Value"/>
  </r>
  <r>
    <s v="DUKA-0587"/>
    <s v="2026-04-12"/>
    <x v="1"/>
    <s v="Capital"/>
    <s v="Laptop Pro 14"/>
    <s v="Computing"/>
    <x v="0"/>
    <n v="1"/>
    <n v="123100"/>
    <n v="123100"/>
    <s v="April"/>
    <s v="Sunday"/>
    <b v="1"/>
    <s v="Premium"/>
  </r>
  <r>
    <s v="DUKA-0588"/>
    <s v="2026-02-09"/>
    <x v="3"/>
    <s v="Western"/>
    <s v="Bluetooth Speaker"/>
    <s v="Audio"/>
    <x v="1"/>
    <n v="2"/>
    <n v="6700"/>
    <n v="13400"/>
    <s v="February"/>
    <s v="Monday"/>
    <b v="0"/>
    <s v="Value"/>
  </r>
  <r>
    <s v="DUKA-0589"/>
    <s v="2026-05-17"/>
    <x v="0"/>
    <s v="Coast"/>
    <s v="Budget Smartphone"/>
    <s v="Mobile"/>
    <x v="0"/>
    <n v="1"/>
    <n v="17600"/>
    <n v="17600"/>
    <s v="May"/>
    <s v="Sunday"/>
    <b v="1"/>
    <s v="Value"/>
  </r>
  <r>
    <s v="DUKA-0590"/>
    <s v="2026-06-30"/>
    <x v="7"/>
    <s v="Central"/>
    <s v="Wi-Fi Router AX"/>
    <s v="Networking"/>
    <x v="1"/>
    <n v="1"/>
    <n v="12400"/>
    <n v="12400"/>
    <s v="June"/>
    <s v="Tuesday"/>
    <b v="0"/>
    <s v="Value"/>
  </r>
  <r>
    <s v="DUKA-0591"/>
    <s v="2026-03-06"/>
    <x v="7"/>
    <s v="Central"/>
    <s v="Power Bank 20K"/>
    <s v="Accessories"/>
    <x v="1"/>
    <n v="4"/>
    <n v="4700"/>
    <n v="18800"/>
    <s v="March"/>
    <s v="Friday"/>
    <b v="0"/>
    <s v="Value"/>
  </r>
  <r>
    <s v="DUKA-0592"/>
    <s v="2026-05-15"/>
    <x v="0"/>
    <s v="Coast"/>
    <s v="Bluetooth Speaker"/>
    <s v="Audio"/>
    <x v="1"/>
    <n v="1"/>
    <n v="6700"/>
    <n v="6700"/>
    <s v="May"/>
    <s v="Friday"/>
    <b v="0"/>
    <s v="Value"/>
  </r>
  <r>
    <s v="DUKA-0593"/>
    <s v="2026-01-12"/>
    <x v="1"/>
    <s v="Capital"/>
    <s v="Smartphone X"/>
    <s v="Mobile"/>
    <x v="0"/>
    <n v="1"/>
    <n v="40100"/>
    <n v="40100"/>
    <s v="January"/>
    <s v="Monday"/>
    <b v="0"/>
    <s v="Premium"/>
  </r>
  <r>
    <s v="DUKA-0594"/>
    <s v="2026-03-11"/>
    <x v="1"/>
    <s v="Capital"/>
    <s v="Budget Smartphone"/>
    <s v="Mobile"/>
    <x v="1"/>
    <n v="1"/>
    <n v="18400"/>
    <n v="18400"/>
    <s v="March"/>
    <s v="Wednesday"/>
    <b v="0"/>
    <s v="Value"/>
  </r>
  <r>
    <s v="DUKA-0595"/>
    <s v="2026-04-11"/>
    <x v="2"/>
    <s v="Central"/>
    <s v="Chromebook Air"/>
    <s v="Computing"/>
    <x v="1"/>
    <n v="3"/>
    <n v="29900"/>
    <n v="89700"/>
    <s v="April"/>
    <s v="Saturday"/>
    <b v="1"/>
    <s v="Premium"/>
  </r>
  <r>
    <s v="DUKA-0596"/>
    <s v="2026-05-24"/>
    <x v="1"/>
    <s v="Capital"/>
    <s v="Budget Smartphone"/>
    <s v="Mobile"/>
    <x v="1"/>
    <n v="1"/>
    <n v="17800"/>
    <n v="17800"/>
    <s v="May"/>
    <s v="Sunday"/>
    <b v="1"/>
    <s v="Value"/>
  </r>
  <r>
    <s v="DUKA-0597"/>
    <s v="2026-02-26"/>
    <x v="0"/>
    <s v="Coast"/>
    <s v="Laptop Pro 14"/>
    <s v="Computing"/>
    <x v="1"/>
    <n v="2"/>
    <n v="117400"/>
    <n v="234800"/>
    <s v="February"/>
    <s v="Thursday"/>
    <b v="0"/>
    <s v="Premium"/>
  </r>
  <r>
    <s v="DUKA-0598"/>
    <s v="2026-02-14"/>
    <x v="7"/>
    <s v="Central"/>
    <s v="4K Television 43in"/>
    <s v="Television"/>
    <x v="1"/>
    <n v="1"/>
    <n v="57200"/>
    <n v="57200"/>
    <s v="February"/>
    <s v="Saturday"/>
    <b v="1"/>
    <s v="Premium"/>
  </r>
  <r>
    <s v="DUKA-0599"/>
    <s v="2026-06-06"/>
    <x v="6"/>
    <s v="Rift Valley"/>
    <s v="HD Television 32in"/>
    <s v="Television"/>
    <x v="1"/>
    <n v="1"/>
    <n v="25600"/>
    <n v="25600"/>
    <s v="June"/>
    <s v="Saturday"/>
    <b v="1"/>
    <s v="Value"/>
  </r>
  <r>
    <s v="DUKA-0600"/>
    <s v="2026-02-21"/>
    <x v="4"/>
    <s v="Rift Valley"/>
    <s v="Wi-Fi Router AX"/>
    <s v="Networking"/>
    <x v="1"/>
    <n v="1"/>
    <n v="11700"/>
    <n v="11700"/>
    <s v="February"/>
    <s v="Saturday"/>
    <b v="1"/>
    <s v="Value"/>
  </r>
  <r>
    <s v="DUKA-0601"/>
    <s v="2026-02-07"/>
    <x v="1"/>
    <s v="Capital"/>
    <s v="Tablet 10in"/>
    <s v="Computing"/>
    <x v="0"/>
    <n v="1"/>
    <n v="29800"/>
    <n v="29800"/>
    <s v="February"/>
    <s v="Saturday"/>
    <b v="1"/>
    <s v="Premium"/>
  </r>
  <r>
    <s v="DUKA-0602"/>
    <s v="2026-05-21"/>
    <x v="7"/>
    <s v="Central"/>
    <s v="Wi-Fi Router AX"/>
    <s v="Networking"/>
    <x v="1"/>
    <n v="1"/>
    <n v="12700"/>
    <n v="12700"/>
    <s v="May"/>
    <s v="Thursday"/>
    <b v="0"/>
    <s v="Value"/>
  </r>
  <r>
    <s v="DUKA-0603"/>
    <s v="2026-01-17"/>
    <x v="3"/>
    <s v="Western"/>
    <s v="Bluetooth Speaker"/>
    <s v="Audio"/>
    <x v="1"/>
    <n v="2"/>
    <n v="6800"/>
    <n v="13600"/>
    <s v="January"/>
    <s v="Saturday"/>
    <b v="1"/>
    <s v="Value"/>
  </r>
  <r>
    <s v="DUKA-0604"/>
    <s v="2026-05-06"/>
    <x v="0"/>
    <s v="Coast"/>
    <s v="Wireless Headphones"/>
    <s v="Audio"/>
    <x v="0"/>
    <n v="2"/>
    <n v="8600"/>
    <n v="17200"/>
    <s v="May"/>
    <s v="Wednesday"/>
    <b v="0"/>
    <s v="Value"/>
  </r>
  <r>
    <s v="DUKA-0605"/>
    <s v="2026-03-26"/>
    <x v="6"/>
    <s v="Rift Valley"/>
    <s v="Smart Watch"/>
    <s v="Wearables"/>
    <x v="1"/>
    <n v="5"/>
    <n v="23700"/>
    <n v="118500"/>
    <s v="March"/>
    <s v="Thursday"/>
    <b v="0"/>
    <s v="Value"/>
  </r>
  <r>
    <s v="DUKA-0606"/>
    <s v="2026-05-23"/>
    <x v="4"/>
    <s v="Rift Valley"/>
    <s v="Smartphone X"/>
    <s v="Mobile"/>
    <x v="1"/>
    <n v="1"/>
    <n v="44500"/>
    <n v="44500"/>
    <s v="May"/>
    <s v="Saturday"/>
    <b v="1"/>
    <s v="Premium"/>
  </r>
  <r>
    <s v="DUKA-0607"/>
    <s v="2026-06-04"/>
    <x v="3"/>
    <s v="Western"/>
    <s v="Wi-Fi Router AX"/>
    <s v="Networking"/>
    <x v="1"/>
    <n v="5"/>
    <n v="12500"/>
    <n v="62500"/>
    <s v="June"/>
    <s v="Thursday"/>
    <b v="0"/>
    <s v="Value"/>
  </r>
  <r>
    <s v="DUKA-0608"/>
    <s v="2026-03-12"/>
    <x v="4"/>
    <s v="Rift Valley"/>
    <s v="4K Television 43in"/>
    <s v="Television"/>
    <x v="1"/>
    <n v="2"/>
    <n v="54100"/>
    <n v="108200"/>
    <s v="March"/>
    <s v="Thursday"/>
    <b v="0"/>
    <s v="Premium"/>
  </r>
  <r>
    <s v="DUKA-0609"/>
    <s v="2026-02-14"/>
    <x v="6"/>
    <s v="Rift Valley"/>
    <s v="Bluetooth Speaker"/>
    <s v="Audio"/>
    <x v="0"/>
    <n v="1"/>
    <n v="7100"/>
    <n v="7100"/>
    <s v="February"/>
    <s v="Saturday"/>
    <b v="1"/>
    <s v="Value"/>
  </r>
  <r>
    <s v="DUKA-0610"/>
    <s v="2026-02-03"/>
    <x v="0"/>
    <s v="Coast"/>
    <s v="Laptop Pro 14"/>
    <s v="Computing"/>
    <x v="1"/>
    <n v="1"/>
    <n v="120500"/>
    <n v="120500"/>
    <s v="February"/>
    <s v="Tuesday"/>
    <b v="0"/>
    <s v="Premium"/>
  </r>
  <r>
    <s v="DUKA-0611"/>
    <s v="2026-05-11"/>
    <x v="7"/>
    <s v="Central"/>
    <s v="Chromebook Air"/>
    <s v="Computing"/>
    <x v="1"/>
    <n v="1"/>
    <n v="29500"/>
    <n v="29500"/>
    <s v="May"/>
    <s v="Monday"/>
    <b v="0"/>
    <s v="Premium"/>
  </r>
  <r>
    <s v="DUKA-0612"/>
    <s v="2026-03-20"/>
    <x v="0"/>
    <s v="Coast"/>
    <s v="Chromebook Air"/>
    <s v="Computing"/>
    <x v="0"/>
    <n v="1"/>
    <n v="32400"/>
    <n v="32400"/>
    <s v="March"/>
    <s v="Friday"/>
    <b v="0"/>
    <s v="Premium"/>
  </r>
  <r>
    <s v="DUKA-0613"/>
    <s v="2026-05-26"/>
    <x v="4"/>
    <s v="Rift Valley"/>
    <s v="Smartphone X"/>
    <s v="Mobile"/>
    <x v="0"/>
    <n v="2"/>
    <n v="42700"/>
    <n v="85400"/>
    <s v="May"/>
    <s v="Tuesday"/>
    <b v="0"/>
    <s v="Premium"/>
  </r>
  <r>
    <s v="DUKA-0614"/>
    <s v="2026-05-15"/>
    <x v="3"/>
    <s v="Western"/>
    <s v="4K Television 43in"/>
    <s v="Television"/>
    <x v="1"/>
    <n v="1"/>
    <n v="53500"/>
    <n v="53500"/>
    <s v="May"/>
    <s v="Friday"/>
    <b v="0"/>
    <s v="Premium"/>
  </r>
  <r>
    <s v="DUKA-0615"/>
    <s v="2026-06-30"/>
    <x v="2"/>
    <s v="Central"/>
    <s v="4K Television 43in"/>
    <s v="Television"/>
    <x v="1"/>
    <n v="2"/>
    <n v="57500"/>
    <n v="115000"/>
    <s v="June"/>
    <s v="Tuesday"/>
    <b v="0"/>
    <s v="Premium"/>
  </r>
  <r>
    <s v="DUKA-0616"/>
    <s v="2026-06-03"/>
    <x v="7"/>
    <s v="Central"/>
    <s v="Wireless Headphones"/>
    <s v="Audio"/>
    <x v="1"/>
    <n v="5"/>
    <n v="8000"/>
    <n v="40000"/>
    <s v="June"/>
    <s v="Wednesday"/>
    <b v="0"/>
    <s v="Value"/>
  </r>
  <r>
    <s v="DUKA-0617"/>
    <s v="2026-06-15"/>
    <x v="5"/>
    <s v="Capital"/>
    <s v="Smart Watch"/>
    <s v="Wearables"/>
    <x v="1"/>
    <n v="5"/>
    <n v="22600"/>
    <n v="113000"/>
    <s v="June"/>
    <s v="Monday"/>
    <b v="0"/>
    <s v="Value"/>
  </r>
  <r>
    <s v="DUKA-0618"/>
    <s v="2026-06-13"/>
    <x v="4"/>
    <s v="Rift Valley"/>
    <s v="Bluetooth Speaker"/>
    <s v="Audio"/>
    <x v="1"/>
    <n v="1"/>
    <n v="6700"/>
    <n v="6700"/>
    <s v="June"/>
    <s v="Saturday"/>
    <b v="1"/>
    <s v="Value"/>
  </r>
  <r>
    <s v="DUKA-0619"/>
    <s v="2026-06-14"/>
    <x v="7"/>
    <s v="Central"/>
    <s v="Smartphone X"/>
    <s v="Mobile"/>
    <x v="1"/>
    <n v="1"/>
    <n v="43700"/>
    <n v="43700"/>
    <s v="June"/>
    <s v="Sunday"/>
    <b v="1"/>
    <s v="Premium"/>
  </r>
  <r>
    <s v="DUKA-0620"/>
    <s v="2026-06-29"/>
    <x v="1"/>
    <s v="Capital"/>
    <s v="Smartphone X"/>
    <s v="Mobile"/>
    <x v="1"/>
    <n v="2"/>
    <n v="39900"/>
    <n v="79800"/>
    <s v="June"/>
    <s v="Monday"/>
    <b v="0"/>
    <s v="Premium"/>
  </r>
  <r>
    <s v="DUKA-0621"/>
    <s v="2026-03-10"/>
    <x v="7"/>
    <s v="Central"/>
    <s v="Wireless Headphones"/>
    <s v="Audio"/>
    <x v="0"/>
    <n v="1"/>
    <n v="8100"/>
    <n v="8100"/>
    <s v="March"/>
    <s v="Tuesday"/>
    <b v="0"/>
    <s v="Value"/>
  </r>
  <r>
    <s v="DUKA-0622"/>
    <s v="2026-02-26"/>
    <x v="0"/>
    <s v="Coast"/>
    <s v="Laptop Pro 14"/>
    <s v="Computing"/>
    <x v="0"/>
    <n v="2"/>
    <n v="112700"/>
    <n v="225400"/>
    <s v="February"/>
    <s v="Thursday"/>
    <b v="0"/>
    <s v="Premium"/>
  </r>
  <r>
    <s v="DUKA-0623"/>
    <s v="2026-04-18"/>
    <x v="6"/>
    <s v="Rift Valley"/>
    <s v="Smart Watch"/>
    <s v="Wearables"/>
    <x v="1"/>
    <n v="1"/>
    <n v="21000"/>
    <n v="21000"/>
    <s v="April"/>
    <s v="Saturday"/>
    <b v="1"/>
    <s v="Value"/>
  </r>
  <r>
    <s v="DUKA-0624"/>
    <s v="2026-06-01"/>
    <x v="5"/>
    <s v="Capital"/>
    <s v="Smart Watch"/>
    <s v="Wearables"/>
    <x v="1"/>
    <n v="1"/>
    <n v="20900"/>
    <n v="20900"/>
    <s v="June"/>
    <s v="Monday"/>
    <b v="0"/>
    <s v="Value"/>
  </r>
  <r>
    <s v="DUKA-0625"/>
    <s v="2026-02-02"/>
    <x v="0"/>
    <s v="Coast"/>
    <s v="Tablet 10in"/>
    <s v="Computing"/>
    <x v="0"/>
    <n v="2"/>
    <n v="31400"/>
    <n v="62800"/>
    <s v="February"/>
    <s v="Monday"/>
    <b v="0"/>
    <s v="Premium"/>
  </r>
  <r>
    <s v="DUKA-0626"/>
    <s v="2026-06-30"/>
    <x v="2"/>
    <s v="Central"/>
    <s v="4K Television 43in"/>
    <s v="Television"/>
    <x v="0"/>
    <n v="2"/>
    <n v="56700"/>
    <n v="113400"/>
    <s v="June"/>
    <s v="Tuesday"/>
    <b v="0"/>
    <s v="Premium"/>
  </r>
  <r>
    <s v="DUKA-0627"/>
    <s v="2026-02-24"/>
    <x v="1"/>
    <s v="Capital"/>
    <s v="Bluetooth Speaker"/>
    <s v="Audio"/>
    <x v="0"/>
    <n v="4"/>
    <n v="6500"/>
    <n v="26000"/>
    <s v="February"/>
    <s v="Tuesday"/>
    <b v="0"/>
    <s v="Value"/>
  </r>
  <r>
    <s v="DUKA-0628"/>
    <s v="2026-02-20"/>
    <x v="1"/>
    <s v="Capital"/>
    <s v="Smart Watch"/>
    <s v="Wearables"/>
    <x v="1"/>
    <n v="1"/>
    <n v="21400"/>
    <n v="21400"/>
    <s v="February"/>
    <s v="Friday"/>
    <b v="0"/>
    <s v="Value"/>
  </r>
  <r>
    <s v="DUKA-0629"/>
    <s v="2026-03-13"/>
    <x v="2"/>
    <s v="Central"/>
    <s v="HD Television 32in"/>
    <s v="Television"/>
    <x v="1"/>
    <n v="3"/>
    <n v="28100"/>
    <n v="84300"/>
    <s v="March"/>
    <s v="Friday"/>
    <b v="0"/>
    <s v="Premium"/>
  </r>
  <r>
    <s v="DUKA-0630"/>
    <s v="2026-01-01"/>
    <x v="1"/>
    <s v="Capital"/>
    <s v="Smart Watch"/>
    <s v="Wearables"/>
    <x v="0"/>
    <n v="1"/>
    <n v="22400"/>
    <n v="22400"/>
    <s v="January"/>
    <s v="Thursday"/>
    <b v="0"/>
    <s v="Value"/>
  </r>
  <r>
    <s v="DUKA-0631"/>
    <s v="2026-03-13"/>
    <x v="7"/>
    <s v="Central"/>
    <s v="Laptop Pro 14"/>
    <s v="Computing"/>
    <x v="1"/>
    <n v="1"/>
    <n v="121700"/>
    <n v="121700"/>
    <s v="March"/>
    <s v="Friday"/>
    <b v="0"/>
    <s v="Premium"/>
  </r>
  <r>
    <s v="DUKA-0632"/>
    <s v="2026-01-26"/>
    <x v="0"/>
    <s v="Coast"/>
    <s v="Laptop Pro 14"/>
    <s v="Computing"/>
    <x v="0"/>
    <n v="5"/>
    <n v="108400"/>
    <n v="542000"/>
    <s v="January"/>
    <s v="Monday"/>
    <b v="0"/>
    <s v="Premium"/>
  </r>
  <r>
    <s v="DUKA-0633"/>
    <s v="2026-05-26"/>
    <x v="5"/>
    <s v="Capital"/>
    <s v="Smartphone X"/>
    <s v="Mobile"/>
    <x v="1"/>
    <n v="2"/>
    <n v="42200"/>
    <n v="84400"/>
    <s v="May"/>
    <s v="Tuesday"/>
    <b v="0"/>
    <s v="Premium"/>
  </r>
  <r>
    <s v="DUKA-0634"/>
    <s v="2026-05-21"/>
    <x v="0"/>
    <s v="Coast"/>
    <s v="Wireless Headphones"/>
    <s v="Audio"/>
    <x v="0"/>
    <n v="1"/>
    <n v="8100"/>
    <n v="8100"/>
    <s v="May"/>
    <s v="Thursday"/>
    <b v="0"/>
    <s v="Value"/>
  </r>
  <r>
    <s v="DUKA-0635"/>
    <s v="2026-04-25"/>
    <x v="3"/>
    <s v="Western"/>
    <s v="Power Bank 20K"/>
    <s v="Accessories"/>
    <x v="1"/>
    <n v="1"/>
    <n v="4700"/>
    <n v="4700"/>
    <s v="April"/>
    <s v="Saturday"/>
    <b v="1"/>
    <s v="Value"/>
  </r>
  <r>
    <s v="DUKA-0636"/>
    <s v="2026-05-26"/>
    <x v="6"/>
    <s v="Rift Valley"/>
    <s v="4K Television 43in"/>
    <s v="Television"/>
    <x v="0"/>
    <n v="1"/>
    <n v="54800"/>
    <n v="54800"/>
    <s v="May"/>
    <s v="Tuesday"/>
    <b v="0"/>
    <s v="Premium"/>
  </r>
  <r>
    <s v="DUKA-0637"/>
    <s v="2026-01-30"/>
    <x v="1"/>
    <s v="Capital"/>
    <s v="4K Television 43in"/>
    <s v="Television"/>
    <x v="1"/>
    <n v="2"/>
    <n v="52300"/>
    <n v="104600"/>
    <s v="January"/>
    <s v="Friday"/>
    <b v="0"/>
    <s v="Premium"/>
  </r>
  <r>
    <s v="DUKA-0638"/>
    <s v="2026-02-17"/>
    <x v="2"/>
    <s v="Central"/>
    <s v="Budget Smartphone"/>
    <s v="Mobile"/>
    <x v="0"/>
    <n v="3"/>
    <n v="18200"/>
    <n v="54600"/>
    <s v="February"/>
    <s v="Tuesday"/>
    <b v="0"/>
    <s v="Value"/>
  </r>
  <r>
    <s v="DUKA-0639"/>
    <s v="2026-06-09"/>
    <x v="1"/>
    <s v="Capital"/>
    <s v="Budget Smartphone"/>
    <s v="Mobile"/>
    <x v="0"/>
    <n v="1"/>
    <n v="17500"/>
    <n v="17500"/>
    <s v="June"/>
    <s v="Tuesday"/>
    <b v="0"/>
    <s v="Value"/>
  </r>
  <r>
    <s v="DUKA-0640"/>
    <s v="2026-06-20"/>
    <x v="7"/>
    <s v="Central"/>
    <s v="Budget Smartphone"/>
    <s v="Mobile"/>
    <x v="0"/>
    <n v="2"/>
    <n v="17200"/>
    <n v="34400"/>
    <s v="June"/>
    <s v="Saturday"/>
    <b v="1"/>
    <s v="Value"/>
  </r>
  <r>
    <s v="DUKA-0641"/>
    <s v="2026-02-18"/>
    <x v="1"/>
    <s v="Capital"/>
    <s v="Wireless Headphones"/>
    <s v="Audio"/>
    <x v="1"/>
    <n v="1"/>
    <n v="8200"/>
    <n v="8200"/>
    <s v="February"/>
    <s v="Wednesday"/>
    <b v="0"/>
    <s v="Value"/>
  </r>
  <r>
    <s v="DUKA-0642"/>
    <s v="2026-02-12"/>
    <x v="1"/>
    <s v="Capital"/>
    <s v="Smart Watch"/>
    <s v="Wearables"/>
    <x v="1"/>
    <n v="2"/>
    <n v="21800"/>
    <n v="43600"/>
    <s v="February"/>
    <s v="Thursday"/>
    <b v="0"/>
    <s v="Value"/>
  </r>
  <r>
    <s v="DUKA-0643"/>
    <s v="2026-01-21"/>
    <x v="6"/>
    <s v="Rift Valley"/>
    <s v="Wi-Fi Router AX"/>
    <s v="Networking"/>
    <x v="1"/>
    <n v="1"/>
    <n v="12200"/>
    <n v="12200"/>
    <s v="January"/>
    <s v="Wednesday"/>
    <b v="0"/>
    <s v="Value"/>
  </r>
  <r>
    <s v="DUKA-0644"/>
    <s v="2026-05-12"/>
    <x v="5"/>
    <s v="Capital"/>
    <s v="Power Bank 20K"/>
    <s v="Accessories"/>
    <x v="1"/>
    <n v="1"/>
    <n v="4200"/>
    <n v="4200"/>
    <s v="May"/>
    <s v="Tuesday"/>
    <b v="0"/>
    <s v="Value"/>
  </r>
  <r>
    <s v="DUKA-0645"/>
    <s v="2026-04-30"/>
    <x v="7"/>
    <s v="Central"/>
    <s v="Chromebook Air"/>
    <s v="Computing"/>
    <x v="1"/>
    <n v="1"/>
    <n v="31800"/>
    <n v="31800"/>
    <s v="April"/>
    <s v="Thursday"/>
    <b v="0"/>
    <s v="Premium"/>
  </r>
  <r>
    <s v="DUKA-0646"/>
    <s v="2026-02-03"/>
    <x v="4"/>
    <s v="Rift Valley"/>
    <s v="Wireless Headphones"/>
    <s v="Audio"/>
    <x v="0"/>
    <n v="1"/>
    <n v="9000"/>
    <n v="9000"/>
    <s v="February"/>
    <s v="Tuesday"/>
    <b v="0"/>
    <s v="Value"/>
  </r>
  <r>
    <s v="DUKA-0647"/>
    <s v="2026-04-22"/>
    <x v="1"/>
    <s v="Capital"/>
    <s v="Tablet 10in"/>
    <s v="Computing"/>
    <x v="1"/>
    <n v="1"/>
    <n v="30000"/>
    <n v="30000"/>
    <s v="April"/>
    <s v="Wednesday"/>
    <b v="0"/>
    <s v="Premium"/>
  </r>
  <r>
    <s v="DUKA-0648"/>
    <s v="2026-05-18"/>
    <x v="1"/>
    <s v="Capital"/>
    <s v="Wi-Fi Router AX"/>
    <s v="Networking"/>
    <x v="0"/>
    <n v="1"/>
    <n v="11100"/>
    <n v="11100"/>
    <s v="May"/>
    <s v="Monday"/>
    <b v="0"/>
    <s v="Value"/>
  </r>
  <r>
    <s v="DUKA-0649"/>
    <s v="2026-02-23"/>
    <x v="2"/>
    <s v="Central"/>
    <s v="Wi-Fi Router AX"/>
    <s v="Networking"/>
    <x v="1"/>
    <n v="3"/>
    <n v="12000"/>
    <n v="36000"/>
    <s v="February"/>
    <s v="Monday"/>
    <b v="0"/>
    <s v="Value"/>
  </r>
  <r>
    <s v="DUKA-0650"/>
    <s v="2026-01-10"/>
    <x v="2"/>
    <s v="Central"/>
    <s v="4K Television 43in"/>
    <s v="Television"/>
    <x v="1"/>
    <n v="1"/>
    <n v="50200"/>
    <n v="50200"/>
    <s v="January"/>
    <s v="Saturday"/>
    <b v="1"/>
    <s v="Premium"/>
  </r>
  <r>
    <s v="DUKA-0651"/>
    <s v="2026-02-09"/>
    <x v="0"/>
    <s v="Coast"/>
    <s v="Budget Smartphone"/>
    <s v="Mobile"/>
    <x v="1"/>
    <n v="1"/>
    <n v="18900"/>
    <n v="18900"/>
    <s v="February"/>
    <s v="Monday"/>
    <b v="0"/>
    <s v="Value"/>
  </r>
  <r>
    <s v="DUKA-0652"/>
    <s v="2026-04-17"/>
    <x v="4"/>
    <s v="Rift Valley"/>
    <s v="Wi-Fi Router AX"/>
    <s v="Networking"/>
    <x v="0"/>
    <n v="1"/>
    <n v="12100"/>
    <n v="12100"/>
    <s v="April"/>
    <s v="Friday"/>
    <b v="0"/>
    <s v="Value"/>
  </r>
  <r>
    <s v="DUKA-0653"/>
    <s v="2026-04-04"/>
    <x v="0"/>
    <s v="Coast"/>
    <s v="Wireless Headphones"/>
    <s v="Audio"/>
    <x v="0"/>
    <n v="2"/>
    <n v="8400"/>
    <n v="16800"/>
    <s v="April"/>
    <s v="Saturday"/>
    <b v="1"/>
    <s v="Value"/>
  </r>
  <r>
    <s v="DUKA-0654"/>
    <s v="2026-03-05"/>
    <x v="2"/>
    <s v="Central"/>
    <s v="Chromebook Air"/>
    <s v="Computing"/>
    <x v="1"/>
    <n v="2"/>
    <n v="33300"/>
    <n v="66600"/>
    <s v="March"/>
    <s v="Thursday"/>
    <b v="0"/>
    <s v="Premium"/>
  </r>
  <r>
    <s v="DUKA-0655"/>
    <s v="2026-04-11"/>
    <x v="4"/>
    <s v="Rift Valley"/>
    <s v="Wi-Fi Router AX"/>
    <s v="Networking"/>
    <x v="1"/>
    <n v="2"/>
    <n v="11300"/>
    <n v="22600"/>
    <s v="April"/>
    <s v="Saturday"/>
    <b v="1"/>
    <s v="Value"/>
  </r>
  <r>
    <s v="DUKA-0656"/>
    <s v="2026-04-30"/>
    <x v="1"/>
    <s v="Capital"/>
    <s v="Bluetooth Speaker"/>
    <s v="Audio"/>
    <x v="1"/>
    <n v="1"/>
    <n v="7200"/>
    <n v="7200"/>
    <s v="April"/>
    <s v="Thursday"/>
    <b v="0"/>
    <s v="Value"/>
  </r>
  <r>
    <s v="DUKA-0657"/>
    <s v="2026-06-22"/>
    <x v="3"/>
    <s v="Western"/>
    <s v="Laptop Pro 14"/>
    <s v="Computing"/>
    <x v="1"/>
    <n v="1"/>
    <n v="124000"/>
    <n v="124000"/>
    <s v="June"/>
    <s v="Monday"/>
    <b v="0"/>
    <s v="Premium"/>
  </r>
  <r>
    <s v="DUKA-0658"/>
    <s v="2026-06-10"/>
    <x v="7"/>
    <s v="Central"/>
    <s v="Smart Watch"/>
    <s v="Wearables"/>
    <x v="1"/>
    <n v="1"/>
    <n v="21200"/>
    <n v="21200"/>
    <s v="June"/>
    <s v="Wednesday"/>
    <b v="0"/>
    <s v="Value"/>
  </r>
  <r>
    <s v="DUKA-0659"/>
    <s v="2026-05-04"/>
    <x v="3"/>
    <s v="Western"/>
    <s v="Wireless Headphones"/>
    <s v="Audio"/>
    <x v="1"/>
    <n v="1"/>
    <n v="8000"/>
    <n v="8000"/>
    <s v="May"/>
    <s v="Monday"/>
    <b v="0"/>
    <s v="Value"/>
  </r>
  <r>
    <s v="DUKA-0660"/>
    <s v="2026-02-28"/>
    <x v="4"/>
    <s v="Rift Valley"/>
    <s v="Power Bank 20K"/>
    <s v="Accessories"/>
    <x v="1"/>
    <n v="4"/>
    <n v="4500"/>
    <n v="18000"/>
    <s v="February"/>
    <s v="Saturday"/>
    <b v="1"/>
    <s v="Value"/>
  </r>
  <r>
    <s v="DUKA-0661"/>
    <s v="2026-03-14"/>
    <x v="7"/>
    <s v="Central"/>
    <s v="Wireless Headphones"/>
    <s v="Audio"/>
    <x v="0"/>
    <n v="1"/>
    <n v="8000"/>
    <n v="8000"/>
    <s v="March"/>
    <s v="Saturday"/>
    <b v="1"/>
    <s v="Value"/>
  </r>
  <r>
    <s v="DUKA-0662"/>
    <s v="2026-06-22"/>
    <x v="0"/>
    <s v="Coast"/>
    <s v="Chromebook Air"/>
    <s v="Computing"/>
    <x v="0"/>
    <n v="3"/>
    <n v="30700"/>
    <n v="92100"/>
    <s v="June"/>
    <s v="Monday"/>
    <b v="0"/>
    <s v="Premium"/>
  </r>
  <r>
    <s v="DUKA-0663"/>
    <s v="2026-03-01"/>
    <x v="0"/>
    <s v="Coast"/>
    <s v="Power Bank 20K"/>
    <s v="Accessories"/>
    <x v="1"/>
    <n v="3"/>
    <n v="4200"/>
    <n v="12600"/>
    <s v="March"/>
    <s v="Sunday"/>
    <b v="1"/>
    <s v="Value"/>
  </r>
  <r>
    <s v="DUKA-0664"/>
    <s v="2026-03-23"/>
    <x v="7"/>
    <s v="Central"/>
    <s v="Smart Watch"/>
    <s v="Wearables"/>
    <x v="1"/>
    <n v="1"/>
    <n v="23200"/>
    <n v="23200"/>
    <s v="March"/>
    <s v="Monday"/>
    <b v="0"/>
    <s v="Value"/>
  </r>
  <r>
    <s v="DUKA-0665"/>
    <s v="2026-06-29"/>
    <x v="3"/>
    <s v="Western"/>
    <s v="Chromebook Air"/>
    <s v="Computing"/>
    <x v="1"/>
    <n v="1"/>
    <n v="31200"/>
    <n v="31200"/>
    <s v="June"/>
    <s v="Monday"/>
    <b v="0"/>
    <s v="Premium"/>
  </r>
  <r>
    <s v="DUKA-0666"/>
    <s v="2026-03-14"/>
    <x v="3"/>
    <s v="Western"/>
    <s v="Wireless Headphones"/>
    <s v="Audio"/>
    <x v="1"/>
    <n v="2"/>
    <n v="7900"/>
    <n v="15800"/>
    <s v="March"/>
    <s v="Saturday"/>
    <b v="1"/>
    <s v="Value"/>
  </r>
  <r>
    <s v="DUKA-0667"/>
    <s v="2026-05-23"/>
    <x v="3"/>
    <s v="Western"/>
    <s v="4K Television 43in"/>
    <s v="Television"/>
    <x v="1"/>
    <n v="1"/>
    <n v="53500"/>
    <n v="53500"/>
    <s v="May"/>
    <s v="Saturday"/>
    <b v="1"/>
    <s v="Premium"/>
  </r>
  <r>
    <s v="DUKA-0668"/>
    <s v="2026-02-07"/>
    <x v="0"/>
    <s v="Coast"/>
    <s v="Wi-Fi Router AX"/>
    <s v="Networking"/>
    <x v="1"/>
    <n v="1"/>
    <n v="12400"/>
    <n v="12400"/>
    <s v="February"/>
    <s v="Saturday"/>
    <b v="1"/>
    <s v="Value"/>
  </r>
  <r>
    <s v="DUKA-0669"/>
    <s v="2026-03-14"/>
    <x v="5"/>
    <s v="Capital"/>
    <s v="4K Television 43in"/>
    <s v="Television"/>
    <x v="1"/>
    <n v="1"/>
    <n v="54800"/>
    <n v="54800"/>
    <s v="March"/>
    <s v="Saturday"/>
    <b v="1"/>
    <s v="Premium"/>
  </r>
  <r>
    <s v="DUKA-0670"/>
    <s v="2026-01-11"/>
    <x v="6"/>
    <s v="Rift Valley"/>
    <s v="Wi-Fi Router AX"/>
    <s v="Networking"/>
    <x v="1"/>
    <n v="2"/>
    <n v="12000"/>
    <n v="24000"/>
    <s v="January"/>
    <s v="Sunday"/>
    <b v="1"/>
    <s v="Value"/>
  </r>
  <r>
    <s v="DUKA-0671"/>
    <s v="2026-06-02"/>
    <x v="4"/>
    <s v="Rift Valley"/>
    <s v="Power Bank 20K"/>
    <s v="Accessories"/>
    <x v="1"/>
    <n v="3"/>
    <n v="4600"/>
    <n v="13800"/>
    <s v="June"/>
    <s v="Tuesday"/>
    <b v="0"/>
    <s v="Value"/>
  </r>
  <r>
    <s v="DUKA-0672"/>
    <s v="2026-01-12"/>
    <x v="4"/>
    <s v="Rift Valley"/>
    <s v="Wireless Headphones"/>
    <s v="Audio"/>
    <x v="0"/>
    <n v="1"/>
    <n v="8200"/>
    <n v="8200"/>
    <s v="January"/>
    <s v="Monday"/>
    <b v="0"/>
    <s v="Value"/>
  </r>
  <r>
    <s v="DUKA-0673"/>
    <s v="2026-05-30"/>
    <x v="3"/>
    <s v="Western"/>
    <s v="Smart Watch"/>
    <s v="Wearables"/>
    <x v="0"/>
    <n v="2"/>
    <n v="21400"/>
    <n v="42800"/>
    <s v="May"/>
    <s v="Saturday"/>
    <b v="1"/>
    <s v="Value"/>
  </r>
  <r>
    <s v="DUKA-0674"/>
    <s v="2026-06-03"/>
    <x v="6"/>
    <s v="Rift Valley"/>
    <s v="Power Bank 20K"/>
    <s v="Accessories"/>
    <x v="1"/>
    <n v="1"/>
    <n v="4800"/>
    <n v="4800"/>
    <s v="June"/>
    <s v="Wednesday"/>
    <b v="0"/>
    <s v="Value"/>
  </r>
  <r>
    <s v="DUKA-0675"/>
    <s v="2026-01-30"/>
    <x v="7"/>
    <s v="Central"/>
    <s v="Tablet 10in"/>
    <s v="Computing"/>
    <x v="1"/>
    <n v="3"/>
    <n v="29900"/>
    <n v="89700"/>
    <s v="January"/>
    <s v="Friday"/>
    <b v="0"/>
    <s v="Premium"/>
  </r>
  <r>
    <s v="DUKA-0676"/>
    <s v="2026-01-02"/>
    <x v="3"/>
    <s v="Western"/>
    <s v="Bluetooth Speaker"/>
    <s v="Audio"/>
    <x v="1"/>
    <n v="1"/>
    <n v="7200"/>
    <n v="7200"/>
    <s v="January"/>
    <s v="Friday"/>
    <b v="0"/>
    <s v="Value"/>
  </r>
  <r>
    <s v="DUKA-0677"/>
    <s v="2026-06-24"/>
    <x v="6"/>
    <s v="Rift Valley"/>
    <s v="Smart Watch"/>
    <s v="Wearables"/>
    <x v="0"/>
    <n v="2"/>
    <n v="20500"/>
    <n v="41000"/>
    <s v="June"/>
    <s v="Wednesday"/>
    <b v="0"/>
    <s v="Value"/>
  </r>
  <r>
    <s v="DUKA-0678"/>
    <s v="2026-04-28"/>
    <x v="2"/>
    <s v="Central"/>
    <s v="Tablet 10in"/>
    <s v="Computing"/>
    <x v="1"/>
    <n v="1"/>
    <n v="29000"/>
    <n v="29000"/>
    <s v="April"/>
    <s v="Tuesday"/>
    <b v="0"/>
    <s v="Premium"/>
  </r>
  <r>
    <s v="DUKA-0679"/>
    <s v="2026-04-16"/>
    <x v="2"/>
    <s v="Central"/>
    <s v="Tablet 10in"/>
    <s v="Computing"/>
    <x v="1"/>
    <n v="1"/>
    <n v="27800"/>
    <n v="27800"/>
    <s v="April"/>
    <s v="Thursday"/>
    <b v="0"/>
    <s v="Value"/>
  </r>
  <r>
    <s v="DUKA-0680"/>
    <s v="2026-04-21"/>
    <x v="7"/>
    <s v="Central"/>
    <s v="Tablet 10in"/>
    <s v="Computing"/>
    <x v="1"/>
    <n v="1"/>
    <n v="27200"/>
    <n v="27200"/>
    <s v="April"/>
    <s v="Tuesday"/>
    <b v="0"/>
    <s v="Value"/>
  </r>
  <r>
    <s v="DUKA-0681"/>
    <s v="2026-05-17"/>
    <x v="2"/>
    <s v="Central"/>
    <s v="Wireless Headphones"/>
    <s v="Audio"/>
    <x v="1"/>
    <n v="1"/>
    <n v="8300"/>
    <n v="8300"/>
    <s v="May"/>
    <s v="Sunday"/>
    <b v="1"/>
    <s v="Value"/>
  </r>
  <r>
    <s v="DUKA-0682"/>
    <s v="2026-04-17"/>
    <x v="0"/>
    <s v="Coast"/>
    <s v="Smart Watch"/>
    <s v="Wearables"/>
    <x v="0"/>
    <n v="3"/>
    <n v="20400"/>
    <n v="61200"/>
    <s v="April"/>
    <s v="Friday"/>
    <b v="0"/>
    <s v="Value"/>
  </r>
  <r>
    <s v="DUKA-0683"/>
    <s v="2026-05-18"/>
    <x v="5"/>
    <s v="Capital"/>
    <s v="Bluetooth Speaker"/>
    <s v="Audio"/>
    <x v="1"/>
    <n v="1"/>
    <n v="6700"/>
    <n v="6700"/>
    <s v="May"/>
    <s v="Monday"/>
    <b v="0"/>
    <s v="Value"/>
  </r>
  <r>
    <s v="DUKA-0684"/>
    <s v="2026-03-25"/>
    <x v="6"/>
    <s v="Rift Valley"/>
    <s v="Smart Watch"/>
    <s v="Wearables"/>
    <x v="1"/>
    <n v="1"/>
    <n v="20600"/>
    <n v="20600"/>
    <s v="March"/>
    <s v="Wednesday"/>
    <b v="0"/>
    <s v="Value"/>
  </r>
  <r>
    <s v="DUKA-0685"/>
    <s v="2026-01-05"/>
    <x v="3"/>
    <s v="Western"/>
    <s v="Power Bank 20K"/>
    <s v="Accessories"/>
    <x v="0"/>
    <n v="4"/>
    <n v="4700"/>
    <n v="18800"/>
    <s v="January"/>
    <s v="Monday"/>
    <b v="0"/>
    <s v="Value"/>
  </r>
  <r>
    <s v="DUKA-0686"/>
    <s v="2026-01-12"/>
    <x v="2"/>
    <s v="Central"/>
    <s v="Budget Smartphone"/>
    <s v="Mobile"/>
    <x v="0"/>
    <n v="2"/>
    <n v="18200"/>
    <n v="36400"/>
    <s v="January"/>
    <s v="Monday"/>
    <b v="0"/>
    <s v="Value"/>
  </r>
  <r>
    <s v="DUKA-0687"/>
    <s v="2026-05-17"/>
    <x v="1"/>
    <s v="Capital"/>
    <s v="Budget Smartphone"/>
    <s v="Mobile"/>
    <x v="1"/>
    <n v="1"/>
    <n v="17600"/>
    <n v="17600"/>
    <s v="May"/>
    <s v="Sunday"/>
    <b v="1"/>
    <s v="Value"/>
  </r>
  <r>
    <s v="DUKA-0688"/>
    <s v="2026-02-04"/>
    <x v="4"/>
    <s v="Rift Valley"/>
    <s v="HD Television 32in"/>
    <s v="Television"/>
    <x v="1"/>
    <n v="1"/>
    <n v="28600"/>
    <n v="28600"/>
    <s v="February"/>
    <s v="Wednesday"/>
    <b v="0"/>
    <s v="Premium"/>
  </r>
  <r>
    <s v="DUKA-0689"/>
    <s v="2026-01-19"/>
    <x v="6"/>
    <s v="Rift Valley"/>
    <s v="Laptop Pro 14"/>
    <s v="Computing"/>
    <x v="1"/>
    <n v="1"/>
    <n v="117000"/>
    <n v="117000"/>
    <s v="January"/>
    <s v="Monday"/>
    <b v="0"/>
    <s v="Premium"/>
  </r>
  <r>
    <s v="DUKA-0690"/>
    <s v="2026-05-06"/>
    <x v="5"/>
    <s v="Capital"/>
    <s v="Wi-Fi Router AX"/>
    <s v="Networking"/>
    <x v="0"/>
    <n v="4"/>
    <n v="11200"/>
    <n v="44800"/>
    <s v="May"/>
    <s v="Wednesday"/>
    <b v="0"/>
    <s v="Value"/>
  </r>
  <r>
    <s v="DUKA-0691"/>
    <s v="2026-01-29"/>
    <x v="6"/>
    <s v="Rift Valley"/>
    <s v="Power Bank 20K"/>
    <s v="Accessories"/>
    <x v="1"/>
    <n v="1"/>
    <n v="4400"/>
    <n v="4400"/>
    <s v="January"/>
    <s v="Thursday"/>
    <b v="0"/>
    <s v="Value"/>
  </r>
  <r>
    <s v="DUKA-0692"/>
    <s v="2026-06-11"/>
    <x v="0"/>
    <s v="Coast"/>
    <s v="4K Television 43in"/>
    <s v="Television"/>
    <x v="1"/>
    <n v="4"/>
    <n v="56100"/>
    <n v="224400"/>
    <s v="June"/>
    <s v="Thursday"/>
    <b v="0"/>
    <s v="Premium"/>
  </r>
  <r>
    <s v="DUKA-0693"/>
    <s v="2026-02-26"/>
    <x v="3"/>
    <s v="Western"/>
    <s v="Power Bank 20K"/>
    <s v="Accessories"/>
    <x v="0"/>
    <n v="2"/>
    <n v="4600"/>
    <n v="9200"/>
    <s v="February"/>
    <s v="Thursday"/>
    <b v="0"/>
    <s v="Value"/>
  </r>
  <r>
    <s v="DUKA-0694"/>
    <s v="2026-03-29"/>
    <x v="7"/>
    <s v="Central"/>
    <s v="4K Television 43in"/>
    <s v="Television"/>
    <x v="0"/>
    <n v="1"/>
    <n v="51700"/>
    <n v="51700"/>
    <s v="March"/>
    <s v="Sunday"/>
    <b v="1"/>
    <s v="Premium"/>
  </r>
  <r>
    <s v="DUKA-0695"/>
    <s v="2026-03-20"/>
    <x v="2"/>
    <s v="Central"/>
    <s v="4K Television 43in"/>
    <s v="Television"/>
    <x v="1"/>
    <n v="1"/>
    <n v="54100"/>
    <n v="54100"/>
    <s v="March"/>
    <s v="Friday"/>
    <b v="0"/>
    <s v="Premium"/>
  </r>
  <r>
    <s v="DUKA-0696"/>
    <s v="2026-03-12"/>
    <x v="3"/>
    <s v="Western"/>
    <s v="Laptop Pro 14"/>
    <s v="Computing"/>
    <x v="0"/>
    <n v="1"/>
    <n v="107100"/>
    <n v="107100"/>
    <s v="March"/>
    <s v="Thursday"/>
    <b v="0"/>
    <s v="Premium"/>
  </r>
  <r>
    <s v="DUKA-0697"/>
    <s v="2026-04-22"/>
    <x v="0"/>
    <s v="Coast"/>
    <s v="HD Television 32in"/>
    <s v="Television"/>
    <x v="0"/>
    <n v="4"/>
    <n v="25400"/>
    <n v="101600"/>
    <s v="April"/>
    <s v="Wednesday"/>
    <b v="0"/>
    <s v="Value"/>
  </r>
  <r>
    <s v="DUKA-0698"/>
    <s v="2026-05-31"/>
    <x v="3"/>
    <s v="Western"/>
    <s v="Budget Smartphone"/>
    <s v="Mobile"/>
    <x v="1"/>
    <n v="1"/>
    <n v="18200"/>
    <n v="18200"/>
    <s v="May"/>
    <s v="Sunday"/>
    <b v="1"/>
    <s v="Value"/>
  </r>
  <r>
    <s v="DUKA-0699"/>
    <s v="2026-02-14"/>
    <x v="1"/>
    <s v="Capital"/>
    <s v="HD Television 32in"/>
    <s v="Television"/>
    <x v="1"/>
    <n v="1"/>
    <n v="29700"/>
    <n v="29700"/>
    <s v="February"/>
    <s v="Saturday"/>
    <b v="1"/>
    <s v="Premium"/>
  </r>
  <r>
    <s v="DUKA-0700"/>
    <s v="2026-01-08"/>
    <x v="1"/>
    <s v="Capital"/>
    <s v="Power Bank 20K"/>
    <s v="Accessories"/>
    <x v="1"/>
    <n v="3"/>
    <n v="4600"/>
    <n v="13800"/>
    <s v="January"/>
    <s v="Thursday"/>
    <b v="0"/>
    <s v="Value"/>
  </r>
  <r>
    <s v="DUKA-0701"/>
    <s v="2026-05-12"/>
    <x v="2"/>
    <s v="Central"/>
    <s v="Power Bank 20K"/>
    <s v="Accessories"/>
    <x v="1"/>
    <n v="2"/>
    <n v="4700"/>
    <n v="9400"/>
    <s v="May"/>
    <s v="Tuesday"/>
    <b v="0"/>
    <s v="Value"/>
  </r>
  <r>
    <s v="DUKA-0702"/>
    <s v="2026-04-19"/>
    <x v="2"/>
    <s v="Central"/>
    <s v="Budget Smartphone"/>
    <s v="Mobile"/>
    <x v="0"/>
    <n v="1"/>
    <n v="19900"/>
    <n v="19900"/>
    <s v="April"/>
    <s v="Sunday"/>
    <b v="1"/>
    <s v="Value"/>
  </r>
  <r>
    <s v="DUKA-0703"/>
    <s v="2026-03-23"/>
    <x v="2"/>
    <s v="Central"/>
    <s v="Power Bank 20K"/>
    <s v="Accessories"/>
    <x v="1"/>
    <n v="1"/>
    <n v="4200"/>
    <n v="4200"/>
    <s v="March"/>
    <s v="Monday"/>
    <b v="0"/>
    <s v="Value"/>
  </r>
  <r>
    <s v="DUKA-0704"/>
    <s v="2026-06-25"/>
    <x v="4"/>
    <s v="Rift Valley"/>
    <s v="Wi-Fi Router AX"/>
    <s v="Networking"/>
    <x v="1"/>
    <n v="2"/>
    <n v="11400"/>
    <n v="22800"/>
    <s v="June"/>
    <s v="Thursday"/>
    <b v="0"/>
    <s v="Value"/>
  </r>
  <r>
    <s v="DUKA-0705"/>
    <s v="2026-03-02"/>
    <x v="6"/>
    <s v="Rift Valley"/>
    <s v="Budget Smartphone"/>
    <s v="Mobile"/>
    <x v="1"/>
    <n v="2"/>
    <n v="17500"/>
    <n v="35000"/>
    <s v="March"/>
    <s v="Monday"/>
    <b v="0"/>
    <s v="Value"/>
  </r>
  <r>
    <s v="DUKA-0706"/>
    <s v="2026-03-19"/>
    <x v="5"/>
    <s v="Capital"/>
    <s v="Smartphone X"/>
    <s v="Mobile"/>
    <x v="1"/>
    <n v="3"/>
    <n v="40000"/>
    <n v="120000"/>
    <s v="March"/>
    <s v="Thursday"/>
    <b v="0"/>
    <s v="Premium"/>
  </r>
  <r>
    <s v="DUKA-0707"/>
    <s v="2026-06-05"/>
    <x v="4"/>
    <s v="Rift Valley"/>
    <s v="HD Television 32in"/>
    <s v="Television"/>
    <x v="1"/>
    <n v="4"/>
    <n v="28400"/>
    <n v="113600"/>
    <s v="June"/>
    <s v="Friday"/>
    <b v="0"/>
    <s v="Premium"/>
  </r>
  <r>
    <s v="DUKA-0708"/>
    <s v="2026-02-24"/>
    <x v="5"/>
    <s v="Capital"/>
    <s v="Wireless Headphones"/>
    <s v="Audio"/>
    <x v="0"/>
    <n v="1"/>
    <n v="8100"/>
    <n v="8100"/>
    <s v="February"/>
    <s v="Tuesday"/>
    <b v="0"/>
    <s v="Value"/>
  </r>
  <r>
    <s v="DUKA-0709"/>
    <s v="2026-06-29"/>
    <x v="7"/>
    <s v="Central"/>
    <s v="Bluetooth Speaker"/>
    <s v="Audio"/>
    <x v="1"/>
    <n v="1"/>
    <n v="7100"/>
    <n v="7100"/>
    <s v="June"/>
    <s v="Monday"/>
    <b v="0"/>
    <s v="Value"/>
  </r>
  <r>
    <s v="DUKA-0710"/>
    <s v="2026-03-09"/>
    <x v="0"/>
    <s v="Coast"/>
    <s v="Smartphone X"/>
    <s v="Mobile"/>
    <x v="0"/>
    <n v="1"/>
    <n v="43300"/>
    <n v="43300"/>
    <s v="March"/>
    <s v="Monday"/>
    <b v="0"/>
    <s v="Premium"/>
  </r>
  <r>
    <s v="DUKA-0711"/>
    <s v="2026-05-13"/>
    <x v="7"/>
    <s v="Central"/>
    <s v="Laptop Pro 14"/>
    <s v="Computing"/>
    <x v="0"/>
    <n v="2"/>
    <n v="112800"/>
    <n v="225600"/>
    <s v="May"/>
    <s v="Wednesday"/>
    <b v="0"/>
    <s v="Premium"/>
  </r>
  <r>
    <s v="DUKA-0712"/>
    <s v="2026-04-14"/>
    <x v="6"/>
    <s v="Rift Valley"/>
    <s v="HD Television 32in"/>
    <s v="Television"/>
    <x v="0"/>
    <n v="3"/>
    <n v="26000"/>
    <n v="78000"/>
    <s v="April"/>
    <s v="Tuesday"/>
    <b v="0"/>
    <s v="Value"/>
  </r>
  <r>
    <s v="DUKA-0713"/>
    <s v="2026-05-21"/>
    <x v="7"/>
    <s v="Central"/>
    <s v="HD Television 32in"/>
    <s v="Television"/>
    <x v="1"/>
    <n v="1"/>
    <n v="28300"/>
    <n v="28300"/>
    <s v="May"/>
    <s v="Thursday"/>
    <b v="0"/>
    <s v="Premium"/>
  </r>
  <r>
    <s v="DUKA-0714"/>
    <s v="2026-06-09"/>
    <x v="1"/>
    <s v="Capital"/>
    <s v="Chromebook Air"/>
    <s v="Computing"/>
    <x v="1"/>
    <n v="1"/>
    <n v="34200"/>
    <n v="34200"/>
    <s v="June"/>
    <s v="Tuesday"/>
    <b v="0"/>
    <s v="Premium"/>
  </r>
  <r>
    <s v="DUKA-0715"/>
    <s v="2026-01-29"/>
    <x v="2"/>
    <s v="Central"/>
    <s v="Wireless Headphones"/>
    <s v="Audio"/>
    <x v="0"/>
    <n v="2"/>
    <n v="8500"/>
    <n v="17000"/>
    <s v="January"/>
    <s v="Thursday"/>
    <b v="0"/>
    <s v="Value"/>
  </r>
  <r>
    <s v="DUKA-0716"/>
    <s v="2026-05-12"/>
    <x v="0"/>
    <s v="Coast"/>
    <s v="Bluetooth Speaker"/>
    <s v="Audio"/>
    <x v="1"/>
    <n v="1"/>
    <n v="7000"/>
    <n v="7000"/>
    <s v="May"/>
    <s v="Tuesday"/>
    <b v="0"/>
    <s v="Value"/>
  </r>
  <r>
    <s v="DUKA-0717"/>
    <s v="2026-03-17"/>
    <x v="4"/>
    <s v="Rift Valley"/>
    <s v="Wireless Headphones"/>
    <s v="Audio"/>
    <x v="1"/>
    <n v="1"/>
    <n v="8800"/>
    <n v="8800"/>
    <s v="March"/>
    <s v="Tuesday"/>
    <b v="0"/>
    <s v="Value"/>
  </r>
  <r>
    <s v="DUKA-0718"/>
    <s v="2026-03-03"/>
    <x v="5"/>
    <s v="Capital"/>
    <s v="Chromebook Air"/>
    <s v="Computing"/>
    <x v="1"/>
    <n v="4"/>
    <n v="32100"/>
    <n v="128400"/>
    <s v="March"/>
    <s v="Tuesday"/>
    <b v="0"/>
    <s v="Premium"/>
  </r>
  <r>
    <s v="DUKA-0719"/>
    <s v="2026-05-19"/>
    <x v="5"/>
    <s v="Capital"/>
    <s v="Chromebook Air"/>
    <s v="Computing"/>
    <x v="1"/>
    <n v="2"/>
    <n v="31200"/>
    <n v="62400"/>
    <s v="May"/>
    <s v="Tuesday"/>
    <b v="0"/>
    <s v="Premium"/>
  </r>
  <r>
    <s v="DUKA-0720"/>
    <s v="2026-03-11"/>
    <x v="6"/>
    <s v="Rift Valley"/>
    <s v="4K Television 43in"/>
    <s v="Television"/>
    <x v="1"/>
    <n v="1"/>
    <n v="55200"/>
    <n v="55200"/>
    <s v="March"/>
    <s v="Wednesday"/>
    <b v="0"/>
    <s v="Premium"/>
  </r>
  <r>
    <s v="DUKA-0721"/>
    <s v="2026-01-30"/>
    <x v="3"/>
    <s v="Western"/>
    <s v="4K Television 43in"/>
    <s v="Television"/>
    <x v="0"/>
    <n v="1"/>
    <n v="53600"/>
    <n v="53600"/>
    <s v="January"/>
    <s v="Friday"/>
    <b v="0"/>
    <s v="Premium"/>
  </r>
  <r>
    <s v="DUKA-0722"/>
    <s v="2026-04-25"/>
    <x v="4"/>
    <s v="Rift Valley"/>
    <s v="HD Television 32in"/>
    <s v="Television"/>
    <x v="0"/>
    <n v="1"/>
    <n v="26700"/>
    <n v="26700"/>
    <s v="April"/>
    <s v="Saturday"/>
    <b v="1"/>
    <s v="Value"/>
  </r>
  <r>
    <s v="DUKA-0723"/>
    <s v="2026-06-21"/>
    <x v="1"/>
    <s v="Capital"/>
    <s v="Laptop Pro 14"/>
    <s v="Computing"/>
    <x v="1"/>
    <n v="3"/>
    <n v="117600"/>
    <n v="352800"/>
    <s v="June"/>
    <s v="Sunday"/>
    <b v="1"/>
    <s v="Premium"/>
  </r>
  <r>
    <s v="DUKA-0724"/>
    <s v="2026-04-24"/>
    <x v="7"/>
    <s v="Central"/>
    <s v="Laptop Pro 14"/>
    <s v="Computing"/>
    <x v="0"/>
    <n v="2"/>
    <n v="106200"/>
    <n v="212400"/>
    <s v="April"/>
    <s v="Friday"/>
    <b v="0"/>
    <s v="Premium"/>
  </r>
  <r>
    <s v="DUKA-0725"/>
    <s v="2026-02-26"/>
    <x v="3"/>
    <s v="Western"/>
    <s v="Chromebook Air"/>
    <s v="Computing"/>
    <x v="1"/>
    <n v="2"/>
    <n v="32200"/>
    <n v="64400"/>
    <s v="February"/>
    <s v="Thursday"/>
    <b v="0"/>
    <s v="Premium"/>
  </r>
  <r>
    <s v="DUKA-0726"/>
    <s v="2026-01-21"/>
    <x v="1"/>
    <s v="Capital"/>
    <s v="Power Bank 20K"/>
    <s v="Accessories"/>
    <x v="1"/>
    <n v="1"/>
    <n v="4200"/>
    <n v="4200"/>
    <s v="January"/>
    <s v="Wednesday"/>
    <b v="0"/>
    <s v="Value"/>
  </r>
  <r>
    <s v="DUKA-0727"/>
    <s v="2026-02-17"/>
    <x v="6"/>
    <s v="Rift Valley"/>
    <s v="Smart Watch"/>
    <s v="Wearables"/>
    <x v="1"/>
    <n v="3"/>
    <n v="23700"/>
    <n v="71100"/>
    <s v="February"/>
    <s v="Tuesday"/>
    <b v="0"/>
    <s v="Value"/>
  </r>
  <r>
    <s v="DUKA-0728"/>
    <s v="2026-04-15"/>
    <x v="7"/>
    <s v="Central"/>
    <s v="Power Bank 20K"/>
    <s v="Accessories"/>
    <x v="1"/>
    <n v="1"/>
    <n v="4600"/>
    <n v="4600"/>
    <s v="April"/>
    <s v="Wednesday"/>
    <b v="0"/>
    <s v="Value"/>
  </r>
  <r>
    <s v="DUKA-0729"/>
    <s v="2026-02-18"/>
    <x v="7"/>
    <s v="Central"/>
    <s v="Wireless Headphones"/>
    <s v="Audio"/>
    <x v="1"/>
    <n v="2"/>
    <n v="8900"/>
    <n v="17800"/>
    <s v="February"/>
    <s v="Wednesday"/>
    <b v="0"/>
    <s v="Value"/>
  </r>
  <r>
    <s v="DUKA-0730"/>
    <s v="2026-05-16"/>
    <x v="5"/>
    <s v="Capital"/>
    <s v="Tablet 10in"/>
    <s v="Computing"/>
    <x v="1"/>
    <n v="5"/>
    <n v="30700"/>
    <n v="153500"/>
    <s v="May"/>
    <s v="Saturday"/>
    <b v="1"/>
    <s v="Premium"/>
  </r>
  <r>
    <s v="DUKA-0731"/>
    <s v="2026-03-09"/>
    <x v="1"/>
    <s v="Capital"/>
    <s v="4K Television 43in"/>
    <s v="Television"/>
    <x v="0"/>
    <n v="1"/>
    <n v="56500"/>
    <n v="56500"/>
    <s v="March"/>
    <s v="Monday"/>
    <b v="0"/>
    <s v="Premium"/>
  </r>
  <r>
    <s v="DUKA-0732"/>
    <s v="2026-01-24"/>
    <x v="5"/>
    <s v="Capital"/>
    <s v="Wireless Headphones"/>
    <s v="Audio"/>
    <x v="1"/>
    <n v="1"/>
    <n v="8900"/>
    <n v="8900"/>
    <s v="January"/>
    <s v="Saturday"/>
    <b v="1"/>
    <s v="Value"/>
  </r>
  <r>
    <s v="DUKA-0733"/>
    <s v="2026-04-28"/>
    <x v="4"/>
    <s v="Rift Valley"/>
    <s v="HD Television 32in"/>
    <s v="Television"/>
    <x v="1"/>
    <n v="1"/>
    <n v="26900"/>
    <n v="26900"/>
    <s v="April"/>
    <s v="Tuesday"/>
    <b v="0"/>
    <s v="Value"/>
  </r>
  <r>
    <s v="DUKA-0734"/>
    <s v="2026-05-21"/>
    <x v="4"/>
    <s v="Rift Valley"/>
    <s v="Smart Watch"/>
    <s v="Wearables"/>
    <x v="1"/>
    <n v="1"/>
    <n v="22800"/>
    <n v="22800"/>
    <s v="May"/>
    <s v="Thursday"/>
    <b v="0"/>
    <s v="Value"/>
  </r>
  <r>
    <s v="DUKA-0735"/>
    <s v="2026-06-11"/>
    <x v="7"/>
    <s v="Central"/>
    <s v="Bluetooth Speaker"/>
    <s v="Audio"/>
    <x v="0"/>
    <n v="1"/>
    <n v="7000"/>
    <n v="7000"/>
    <s v="June"/>
    <s v="Thursday"/>
    <b v="0"/>
    <s v="Value"/>
  </r>
  <r>
    <s v="DUKA-0736"/>
    <s v="2026-01-27"/>
    <x v="6"/>
    <s v="Rift Valley"/>
    <s v="Budget Smartphone"/>
    <s v="Mobile"/>
    <x v="1"/>
    <n v="1"/>
    <n v="19900"/>
    <n v="19900"/>
    <s v="January"/>
    <s v="Tuesday"/>
    <b v="0"/>
    <s v="Value"/>
  </r>
  <r>
    <s v="DUKA-0737"/>
    <s v="2026-05-27"/>
    <x v="1"/>
    <s v="Capital"/>
    <s v="Chromebook Air"/>
    <s v="Computing"/>
    <x v="0"/>
    <n v="1"/>
    <n v="32800"/>
    <n v="32800"/>
    <s v="May"/>
    <s v="Wednesday"/>
    <b v="0"/>
    <s v="Premium"/>
  </r>
  <r>
    <s v="DUKA-0738"/>
    <s v="2026-01-16"/>
    <x v="5"/>
    <s v="Capital"/>
    <s v="Tablet 10in"/>
    <s v="Computing"/>
    <x v="0"/>
    <n v="1"/>
    <n v="31700"/>
    <n v="31700"/>
    <s v="January"/>
    <s v="Friday"/>
    <b v="0"/>
    <s v="Premium"/>
  </r>
  <r>
    <s v="DUKA-0739"/>
    <s v="2026-06-18"/>
    <x v="5"/>
    <s v="Capital"/>
    <s v="Bluetooth Speaker"/>
    <s v="Audio"/>
    <x v="1"/>
    <n v="2"/>
    <n v="7000"/>
    <n v="14000"/>
    <s v="June"/>
    <s v="Thursday"/>
    <b v="0"/>
    <s v="Value"/>
  </r>
  <r>
    <s v="DUKA-0740"/>
    <s v="2026-04-11"/>
    <x v="1"/>
    <s v="Capital"/>
    <s v="Laptop Pro 14"/>
    <s v="Computing"/>
    <x v="1"/>
    <n v="1"/>
    <n v="115100"/>
    <n v="115100"/>
    <s v="April"/>
    <s v="Saturday"/>
    <b v="1"/>
    <s v="Premium"/>
  </r>
  <r>
    <s v="DUKA-0741"/>
    <s v="2026-01-30"/>
    <x v="6"/>
    <s v="Rift Valley"/>
    <s v="Smart Watch"/>
    <s v="Wearables"/>
    <x v="0"/>
    <n v="1"/>
    <n v="21900"/>
    <n v="21900"/>
    <s v="January"/>
    <s v="Friday"/>
    <b v="0"/>
    <s v="Value"/>
  </r>
  <r>
    <s v="DUKA-0742"/>
    <s v="2026-05-22"/>
    <x v="2"/>
    <s v="Central"/>
    <s v="Wireless Headphones"/>
    <s v="Audio"/>
    <x v="1"/>
    <n v="1"/>
    <n v="8300"/>
    <n v="8300"/>
    <s v="May"/>
    <s v="Friday"/>
    <b v="0"/>
    <s v="Value"/>
  </r>
  <r>
    <s v="DUKA-0743"/>
    <s v="2026-05-27"/>
    <x v="6"/>
    <s v="Rift Valley"/>
    <s v="Chromebook Air"/>
    <s v="Computing"/>
    <x v="1"/>
    <n v="2"/>
    <n v="34400"/>
    <n v="68800"/>
    <s v="May"/>
    <s v="Wednesday"/>
    <b v="0"/>
    <s v="Premium"/>
  </r>
  <r>
    <s v="DUKA-0744"/>
    <s v="2026-04-22"/>
    <x v="2"/>
    <s v="Central"/>
    <s v="Budget Smartphone"/>
    <s v="Mobile"/>
    <x v="1"/>
    <n v="2"/>
    <n v="17700"/>
    <n v="35400"/>
    <s v="April"/>
    <s v="Wednesday"/>
    <b v="0"/>
    <s v="Value"/>
  </r>
  <r>
    <s v="DUKA-0745"/>
    <s v="2026-03-23"/>
    <x v="1"/>
    <s v="Capital"/>
    <s v="Tablet 10in"/>
    <s v="Computing"/>
    <x v="1"/>
    <n v="1"/>
    <n v="29100"/>
    <n v="29100"/>
    <s v="March"/>
    <s v="Monday"/>
    <b v="0"/>
    <s v="Premium"/>
  </r>
  <r>
    <s v="DUKA-0746"/>
    <s v="2026-04-20"/>
    <x v="3"/>
    <s v="Western"/>
    <s v="Smart Watch"/>
    <s v="Wearables"/>
    <x v="1"/>
    <n v="2"/>
    <n v="21200"/>
    <n v="42400"/>
    <s v="April"/>
    <s v="Monday"/>
    <b v="0"/>
    <s v="Value"/>
  </r>
  <r>
    <s v="DUKA-0747"/>
    <s v="2026-05-19"/>
    <x v="1"/>
    <s v="Capital"/>
    <s v="Wireless Headphones"/>
    <s v="Audio"/>
    <x v="0"/>
    <n v="1"/>
    <n v="9100"/>
    <n v="9100"/>
    <s v="May"/>
    <s v="Tuesday"/>
    <b v="0"/>
    <s v="Value"/>
  </r>
  <r>
    <s v="DUKA-0748"/>
    <s v="2026-01-17"/>
    <x v="1"/>
    <s v="Capital"/>
    <s v="Bluetooth Speaker"/>
    <s v="Audio"/>
    <x v="1"/>
    <n v="5"/>
    <n v="7100"/>
    <n v="35500"/>
    <s v="January"/>
    <s v="Saturday"/>
    <b v="1"/>
    <s v="Value"/>
  </r>
  <r>
    <s v="DUKA-0749"/>
    <s v="2026-01-03"/>
    <x v="3"/>
    <s v="Western"/>
    <s v="Chromebook Air"/>
    <s v="Computing"/>
    <x v="1"/>
    <n v="2"/>
    <n v="30500"/>
    <n v="61000"/>
    <s v="January"/>
    <s v="Saturday"/>
    <b v="1"/>
    <s v="Premium"/>
  </r>
  <r>
    <s v="DUKA-0750"/>
    <s v="2026-04-15"/>
    <x v="1"/>
    <s v="Capital"/>
    <s v="Tablet 10in"/>
    <s v="Computing"/>
    <x v="0"/>
    <n v="2"/>
    <n v="31000"/>
    <n v="62000"/>
    <s v="April"/>
    <s v="Wednesday"/>
    <b v="0"/>
    <s v="Premium"/>
  </r>
  <r>
    <s v="DUKA-0751"/>
    <s v="2026-06-01"/>
    <x v="0"/>
    <s v="Coast"/>
    <s v="Tablet 10in"/>
    <s v="Computing"/>
    <x v="1"/>
    <n v="1"/>
    <n v="31800"/>
    <n v="31800"/>
    <s v="June"/>
    <s v="Monday"/>
    <b v="0"/>
    <s v="Premium"/>
  </r>
  <r>
    <s v="DUKA-0752"/>
    <s v="2026-04-04"/>
    <x v="1"/>
    <s v="Capital"/>
    <s v="Budget Smartphone"/>
    <s v="Mobile"/>
    <x v="1"/>
    <n v="1"/>
    <n v="19100"/>
    <n v="19100"/>
    <s v="April"/>
    <s v="Saturday"/>
    <b v="1"/>
    <s v="Value"/>
  </r>
  <r>
    <s v="DUKA-0753"/>
    <s v="2026-01-04"/>
    <x v="5"/>
    <s v="Capital"/>
    <s v="Laptop Pro 14"/>
    <s v="Computing"/>
    <x v="1"/>
    <n v="1"/>
    <n v="111100"/>
    <n v="111100"/>
    <s v="January"/>
    <s v="Sunday"/>
    <b v="1"/>
    <s v="Premium"/>
  </r>
  <r>
    <s v="DUKA-0754"/>
    <s v="2026-01-03"/>
    <x v="7"/>
    <s v="Central"/>
    <s v="Smart Watch"/>
    <s v="Wearables"/>
    <x v="1"/>
    <n v="2"/>
    <n v="20900"/>
    <n v="41800"/>
    <s v="January"/>
    <s v="Saturday"/>
    <b v="1"/>
    <s v="Value"/>
  </r>
  <r>
    <s v="DUKA-0755"/>
    <s v="2026-04-20"/>
    <x v="0"/>
    <s v="Coast"/>
    <s v="Laptop Pro 14"/>
    <s v="Computing"/>
    <x v="1"/>
    <n v="1"/>
    <n v="120000"/>
    <n v="120000"/>
    <s v="April"/>
    <s v="Monday"/>
    <b v="0"/>
    <s v="Premium"/>
  </r>
  <r>
    <s v="DUKA-0756"/>
    <s v="2026-05-19"/>
    <x v="5"/>
    <s v="Capital"/>
    <s v="Wireless Headphones"/>
    <s v="Audio"/>
    <x v="0"/>
    <n v="3"/>
    <n v="7900"/>
    <n v="23700"/>
    <s v="May"/>
    <s v="Tuesday"/>
    <b v="0"/>
    <s v="Value"/>
  </r>
  <r>
    <s v="DUKA-0757"/>
    <s v="2026-04-07"/>
    <x v="3"/>
    <s v="Western"/>
    <s v="Power Bank 20K"/>
    <s v="Accessories"/>
    <x v="0"/>
    <n v="4"/>
    <n v="4400"/>
    <n v="17600"/>
    <s v="April"/>
    <s v="Tuesday"/>
    <b v="0"/>
    <s v="Value"/>
  </r>
  <r>
    <s v="DUKA-0758"/>
    <s v="2026-02-09"/>
    <x v="1"/>
    <s v="Capital"/>
    <s v="Laptop Pro 14"/>
    <s v="Computing"/>
    <x v="0"/>
    <n v="1"/>
    <n v="112100"/>
    <n v="112100"/>
    <s v="February"/>
    <s v="Monday"/>
    <b v="0"/>
    <s v="Premium"/>
  </r>
  <r>
    <s v="DUKA-0759"/>
    <s v="2026-02-17"/>
    <x v="5"/>
    <s v="Capital"/>
    <s v="Smart Watch"/>
    <s v="Wearables"/>
    <x v="0"/>
    <n v="1"/>
    <n v="23000"/>
    <n v="23000"/>
    <s v="February"/>
    <s v="Tuesday"/>
    <b v="0"/>
    <s v="Value"/>
  </r>
  <r>
    <s v="DUKA-0760"/>
    <s v="2026-03-25"/>
    <x v="1"/>
    <s v="Capital"/>
    <s v="HD Television 32in"/>
    <s v="Television"/>
    <x v="1"/>
    <n v="3"/>
    <n v="27500"/>
    <n v="82500"/>
    <s v="March"/>
    <s v="Wednesday"/>
    <b v="0"/>
    <s v="Value"/>
  </r>
  <r>
    <s v="DUKA-0761"/>
    <s v="2026-01-25"/>
    <x v="2"/>
    <s v="Central"/>
    <s v="Laptop Pro 14"/>
    <s v="Computing"/>
    <x v="1"/>
    <n v="1"/>
    <n v="114400"/>
    <n v="114400"/>
    <s v="January"/>
    <s v="Sunday"/>
    <b v="1"/>
    <s v="Premium"/>
  </r>
  <r>
    <s v="DUKA-0762"/>
    <s v="2026-03-24"/>
    <x v="4"/>
    <s v="Rift Valley"/>
    <s v="Smartphone X"/>
    <s v="Mobile"/>
    <x v="1"/>
    <n v="1"/>
    <n v="42000"/>
    <n v="42000"/>
    <s v="March"/>
    <s v="Tuesday"/>
    <b v="0"/>
    <s v="Premium"/>
  </r>
  <r>
    <s v="DUKA-0763"/>
    <s v="2026-01-29"/>
    <x v="3"/>
    <s v="Western"/>
    <s v="Laptop Pro 14"/>
    <s v="Computing"/>
    <x v="1"/>
    <n v="1"/>
    <n v="123900"/>
    <n v="123900"/>
    <s v="January"/>
    <s v="Thursday"/>
    <b v="0"/>
    <s v="Premium"/>
  </r>
  <r>
    <s v="DUKA-0764"/>
    <s v="2026-05-04"/>
    <x v="1"/>
    <s v="Capital"/>
    <s v="4K Television 43in"/>
    <s v="Television"/>
    <x v="1"/>
    <n v="4"/>
    <n v="50700"/>
    <n v="202800"/>
    <s v="May"/>
    <s v="Monday"/>
    <b v="0"/>
    <s v="Premium"/>
  </r>
  <r>
    <s v="DUKA-0765"/>
    <s v="2026-05-13"/>
    <x v="2"/>
    <s v="Central"/>
    <s v="Tablet 10in"/>
    <s v="Computing"/>
    <x v="0"/>
    <n v="1"/>
    <n v="31200"/>
    <n v="31200"/>
    <s v="May"/>
    <s v="Wednesday"/>
    <b v="0"/>
    <s v="Premium"/>
  </r>
  <r>
    <s v="DUKA-0766"/>
    <s v="2026-06-06"/>
    <x v="1"/>
    <s v="Capital"/>
    <s v="Bluetooth Speaker"/>
    <s v="Audio"/>
    <x v="1"/>
    <n v="2"/>
    <n v="6800"/>
    <n v="13600"/>
    <s v="June"/>
    <s v="Saturday"/>
    <b v="1"/>
    <s v="Value"/>
  </r>
  <r>
    <s v="DUKA-0767"/>
    <s v="2026-02-06"/>
    <x v="5"/>
    <s v="Capital"/>
    <s v="Budget Smartphone"/>
    <s v="Mobile"/>
    <x v="0"/>
    <n v="3"/>
    <n v="18500"/>
    <n v="55500"/>
    <s v="February"/>
    <s v="Friday"/>
    <b v="0"/>
    <s v="Value"/>
  </r>
  <r>
    <s v="DUKA-0768"/>
    <s v="2026-05-22"/>
    <x v="6"/>
    <s v="Rift Valley"/>
    <s v="Smartphone X"/>
    <s v="Mobile"/>
    <x v="0"/>
    <n v="1"/>
    <n v="43200"/>
    <n v="43200"/>
    <s v="May"/>
    <s v="Friday"/>
    <b v="0"/>
    <s v="Premium"/>
  </r>
  <r>
    <s v="DUKA-0769"/>
    <s v="2026-05-30"/>
    <x v="1"/>
    <s v="Capital"/>
    <s v="Laptop Pro 14"/>
    <s v="Computing"/>
    <x v="0"/>
    <n v="1"/>
    <n v="115400"/>
    <n v="115400"/>
    <s v="May"/>
    <s v="Saturday"/>
    <b v="1"/>
    <s v="Premium"/>
  </r>
  <r>
    <s v="DUKA-0770"/>
    <s v="2026-02-08"/>
    <x v="5"/>
    <s v="Capital"/>
    <s v="Bluetooth Speaker"/>
    <s v="Audio"/>
    <x v="1"/>
    <n v="1"/>
    <n v="6400"/>
    <n v="6400"/>
    <s v="February"/>
    <s v="Sunday"/>
    <b v="1"/>
    <s v="Value"/>
  </r>
  <r>
    <s v="DUKA-0771"/>
    <s v="2026-06-10"/>
    <x v="1"/>
    <s v="Capital"/>
    <s v="Bluetooth Speaker"/>
    <s v="Audio"/>
    <x v="1"/>
    <n v="4"/>
    <n v="7300"/>
    <n v="29200"/>
    <s v="June"/>
    <s v="Wednesday"/>
    <b v="0"/>
    <s v="Value"/>
  </r>
  <r>
    <s v="DUKA-0772"/>
    <s v="2026-02-11"/>
    <x v="6"/>
    <s v="Rift Valley"/>
    <s v="Chromebook Air"/>
    <s v="Computing"/>
    <x v="1"/>
    <n v="1"/>
    <n v="34400"/>
    <n v="34400"/>
    <s v="February"/>
    <s v="Wednesday"/>
    <b v="0"/>
    <s v="Premium"/>
  </r>
  <r>
    <s v="DUKA-0773"/>
    <s v="2026-02-21"/>
    <x v="5"/>
    <s v="Capital"/>
    <s v="HD Television 32in"/>
    <s v="Television"/>
    <x v="0"/>
    <n v="1"/>
    <n v="27100"/>
    <n v="27100"/>
    <s v="February"/>
    <s v="Saturday"/>
    <b v="1"/>
    <s v="Value"/>
  </r>
  <r>
    <s v="DUKA-0774"/>
    <s v="2026-03-19"/>
    <x v="7"/>
    <s v="Central"/>
    <s v="Laptop Pro 14"/>
    <s v="Computing"/>
    <x v="0"/>
    <n v="1"/>
    <n v="115000"/>
    <n v="115000"/>
    <s v="March"/>
    <s v="Thursday"/>
    <b v="0"/>
    <s v="Premium"/>
  </r>
  <r>
    <s v="DUKA-0775"/>
    <s v="2026-05-28"/>
    <x v="5"/>
    <s v="Capital"/>
    <s v="Chromebook Air"/>
    <s v="Computing"/>
    <x v="1"/>
    <n v="2"/>
    <n v="32500"/>
    <n v="65000"/>
    <s v="May"/>
    <s v="Thursday"/>
    <b v="0"/>
    <s v="Premium"/>
  </r>
  <r>
    <s v="DUKA-0776"/>
    <s v="2026-03-08"/>
    <x v="7"/>
    <s v="Central"/>
    <s v="Tablet 10in"/>
    <s v="Computing"/>
    <x v="1"/>
    <n v="1"/>
    <n v="31300"/>
    <n v="31300"/>
    <s v="March"/>
    <s v="Sunday"/>
    <b v="1"/>
    <s v="Premium"/>
  </r>
  <r>
    <s v="DUKA-0777"/>
    <s v="2026-05-26"/>
    <x v="2"/>
    <s v="Central"/>
    <s v="4K Television 43in"/>
    <s v="Television"/>
    <x v="0"/>
    <n v="2"/>
    <n v="52500"/>
    <n v="105000"/>
    <s v="May"/>
    <s v="Tuesday"/>
    <b v="0"/>
    <s v="Premium"/>
  </r>
  <r>
    <s v="DUKA-0778"/>
    <s v="2026-05-11"/>
    <x v="4"/>
    <s v="Rift Valley"/>
    <s v="HD Television 32in"/>
    <s v="Television"/>
    <x v="1"/>
    <n v="2"/>
    <n v="28100"/>
    <n v="56200"/>
    <s v="May"/>
    <s v="Monday"/>
    <b v="0"/>
    <s v="Premium"/>
  </r>
  <r>
    <s v="DUKA-0779"/>
    <s v="2026-04-16"/>
    <x v="1"/>
    <s v="Capital"/>
    <s v="4K Television 43in"/>
    <s v="Television"/>
    <x v="0"/>
    <n v="1"/>
    <n v="50500"/>
    <n v="50500"/>
    <s v="April"/>
    <s v="Thursday"/>
    <b v="0"/>
    <s v="Premium"/>
  </r>
  <r>
    <s v="DUKA-0780"/>
    <s v="2026-04-10"/>
    <x v="4"/>
    <s v="Rift Valley"/>
    <s v="Budget Smartphone"/>
    <s v="Mobile"/>
    <x v="1"/>
    <n v="1"/>
    <n v="19300"/>
    <n v="19300"/>
    <s v="April"/>
    <s v="Friday"/>
    <b v="0"/>
    <s v="Value"/>
  </r>
  <r>
    <s v="DUKA-0781"/>
    <s v="2026-03-31"/>
    <x v="1"/>
    <s v="Capital"/>
    <s v="4K Television 43in"/>
    <s v="Television"/>
    <x v="1"/>
    <n v="2"/>
    <n v="53000"/>
    <n v="106000"/>
    <s v="March"/>
    <s v="Tuesday"/>
    <b v="0"/>
    <s v="Premium"/>
  </r>
  <r>
    <s v="DUKA-0782"/>
    <s v="2026-03-23"/>
    <x v="2"/>
    <s v="Central"/>
    <s v="Power Bank 20K"/>
    <s v="Accessories"/>
    <x v="1"/>
    <n v="1"/>
    <n v="4400"/>
    <n v="4400"/>
    <s v="March"/>
    <s v="Monday"/>
    <b v="0"/>
    <s v="Value"/>
  </r>
  <r>
    <s v="DUKA-0783"/>
    <s v="2026-02-25"/>
    <x v="5"/>
    <s v="Capital"/>
    <s v="Smartphone X"/>
    <s v="Mobile"/>
    <x v="0"/>
    <n v="1"/>
    <n v="45200"/>
    <n v="45200"/>
    <s v="February"/>
    <s v="Wednesday"/>
    <b v="0"/>
    <s v="Premium"/>
  </r>
  <r>
    <s v="DUKA-0784"/>
    <s v="2026-04-20"/>
    <x v="0"/>
    <s v="Coast"/>
    <s v="Wireless Headphones"/>
    <s v="Audio"/>
    <x v="0"/>
    <n v="1"/>
    <n v="8600"/>
    <n v="8600"/>
    <s v="April"/>
    <s v="Monday"/>
    <b v="0"/>
    <s v="Value"/>
  </r>
  <r>
    <s v="DUKA-0785"/>
    <s v="2026-01-10"/>
    <x v="1"/>
    <s v="Capital"/>
    <s v="Chromebook Air"/>
    <s v="Computing"/>
    <x v="0"/>
    <n v="3"/>
    <n v="32200"/>
    <n v="96600"/>
    <s v="January"/>
    <s v="Saturday"/>
    <b v="1"/>
    <s v="Premium"/>
  </r>
  <r>
    <s v="DUKA-0786"/>
    <s v="2026-03-10"/>
    <x v="5"/>
    <s v="Capital"/>
    <s v="HD Television 32in"/>
    <s v="Television"/>
    <x v="1"/>
    <n v="2"/>
    <n v="27300"/>
    <n v="54600"/>
    <s v="March"/>
    <s v="Tuesday"/>
    <b v="0"/>
    <s v="Value"/>
  </r>
  <r>
    <s v="DUKA-0787"/>
    <s v="2026-03-22"/>
    <x v="6"/>
    <s v="Rift Valley"/>
    <s v="Smart Watch"/>
    <s v="Wearables"/>
    <x v="0"/>
    <n v="3"/>
    <n v="23300"/>
    <n v="69900"/>
    <s v="March"/>
    <s v="Sunday"/>
    <b v="1"/>
    <s v="Value"/>
  </r>
  <r>
    <s v="DUKA-0788"/>
    <s v="2026-06-05"/>
    <x v="6"/>
    <s v="Rift Valley"/>
    <s v="Wireless Headphones"/>
    <s v="Audio"/>
    <x v="1"/>
    <n v="1"/>
    <n v="8000"/>
    <n v="8000"/>
    <s v="June"/>
    <s v="Friday"/>
    <b v="0"/>
    <s v="Value"/>
  </r>
  <r>
    <s v="DUKA-0789"/>
    <s v="2026-06-11"/>
    <x v="4"/>
    <s v="Rift Valley"/>
    <s v="Smartphone X"/>
    <s v="Mobile"/>
    <x v="0"/>
    <n v="3"/>
    <n v="39000"/>
    <n v="117000"/>
    <s v="June"/>
    <s v="Thursday"/>
    <b v="0"/>
    <s v="Premium"/>
  </r>
  <r>
    <s v="DUKA-0790"/>
    <s v="2026-05-16"/>
    <x v="1"/>
    <s v="Capital"/>
    <s v="HD Television 32in"/>
    <s v="Television"/>
    <x v="1"/>
    <n v="1"/>
    <n v="29300"/>
    <n v="29300"/>
    <s v="May"/>
    <s v="Saturday"/>
    <b v="1"/>
    <s v="Premium"/>
  </r>
  <r>
    <s v="DUKA-0791"/>
    <s v="2026-02-02"/>
    <x v="6"/>
    <s v="Rift Valley"/>
    <s v="Chromebook Air"/>
    <s v="Computing"/>
    <x v="0"/>
    <n v="1"/>
    <n v="30800"/>
    <n v="30800"/>
    <s v="February"/>
    <s v="Monday"/>
    <b v="0"/>
    <s v="Premium"/>
  </r>
  <r>
    <s v="DUKA-0792"/>
    <s v="2026-05-25"/>
    <x v="3"/>
    <s v="Western"/>
    <s v="Wi-Fi Router AX"/>
    <s v="Networking"/>
    <x v="0"/>
    <n v="1"/>
    <n v="12200"/>
    <n v="12200"/>
    <s v="May"/>
    <s v="Monday"/>
    <b v="0"/>
    <s v="Value"/>
  </r>
  <r>
    <s v="DUKA-0793"/>
    <s v="2026-05-23"/>
    <x v="7"/>
    <s v="Central"/>
    <s v="Budget Smartphone"/>
    <s v="Mobile"/>
    <x v="1"/>
    <n v="2"/>
    <n v="19600"/>
    <n v="39200"/>
    <s v="May"/>
    <s v="Saturday"/>
    <b v="1"/>
    <s v="Value"/>
  </r>
  <r>
    <s v="DUKA-0794"/>
    <s v="2026-06-29"/>
    <x v="7"/>
    <s v="Central"/>
    <s v="Chromebook Air"/>
    <s v="Computing"/>
    <x v="1"/>
    <n v="1"/>
    <n v="33500"/>
    <n v="33500"/>
    <s v="June"/>
    <s v="Monday"/>
    <b v="0"/>
    <s v="Premium"/>
  </r>
  <r>
    <s v="DUKA-0795"/>
    <s v="2026-04-20"/>
    <x v="6"/>
    <s v="Rift Valley"/>
    <s v="Wireless Headphones"/>
    <s v="Audio"/>
    <x v="1"/>
    <n v="1"/>
    <n v="7900"/>
    <n v="7900"/>
    <s v="April"/>
    <s v="Monday"/>
    <b v="0"/>
    <s v="Value"/>
  </r>
  <r>
    <s v="DUKA-0796"/>
    <s v="2026-05-05"/>
    <x v="7"/>
    <s v="Central"/>
    <s v="Power Bank 20K"/>
    <s v="Accessories"/>
    <x v="0"/>
    <n v="1"/>
    <n v="4200"/>
    <n v="4200"/>
    <s v="May"/>
    <s v="Tuesday"/>
    <b v="0"/>
    <s v="Value"/>
  </r>
  <r>
    <s v="DUKA-0797"/>
    <s v="2026-02-27"/>
    <x v="0"/>
    <s v="Coast"/>
    <s v="4K Television 43in"/>
    <s v="Television"/>
    <x v="1"/>
    <n v="2"/>
    <n v="51600"/>
    <n v="103200"/>
    <s v="February"/>
    <s v="Friday"/>
    <b v="0"/>
    <s v="Premium"/>
  </r>
  <r>
    <s v="DUKA-0798"/>
    <s v="2026-04-29"/>
    <x v="3"/>
    <s v="Western"/>
    <s v="HD Television 32in"/>
    <s v="Television"/>
    <x v="1"/>
    <n v="1"/>
    <n v="27500"/>
    <n v="27500"/>
    <s v="April"/>
    <s v="Wednesday"/>
    <b v="0"/>
    <s v="Value"/>
  </r>
  <r>
    <s v="DUKA-0799"/>
    <s v="2026-04-01"/>
    <x v="0"/>
    <s v="Coast"/>
    <s v="Wi-Fi Router AX"/>
    <s v="Networking"/>
    <x v="0"/>
    <n v="1"/>
    <n v="11300"/>
    <n v="11300"/>
    <s v="April"/>
    <s v="Wednesday"/>
    <b v="0"/>
    <s v="Value"/>
  </r>
  <r>
    <s v="DUKA-0800"/>
    <s v="2026-05-19"/>
    <x v="4"/>
    <s v="Rift Valley"/>
    <s v="HD Television 32in"/>
    <s v="Television"/>
    <x v="0"/>
    <n v="1"/>
    <n v="27800"/>
    <n v="27800"/>
    <s v="May"/>
    <s v="Tuesday"/>
    <b v="0"/>
    <s v="Value"/>
  </r>
  <r>
    <s v="DUKA-0801"/>
    <s v="2026-01-11"/>
    <x v="7"/>
    <s v="Central"/>
    <s v="Smart Watch"/>
    <s v="Wearables"/>
    <x v="0"/>
    <n v="2"/>
    <n v="23000"/>
    <n v="46000"/>
    <s v="January"/>
    <s v="Sunday"/>
    <b v="1"/>
    <s v="Value"/>
  </r>
  <r>
    <s v="DUKA-0802"/>
    <s v="2026-04-25"/>
    <x v="5"/>
    <s v="Capital"/>
    <s v="Laptop Pro 14"/>
    <s v="Computing"/>
    <x v="1"/>
    <n v="3"/>
    <n v="117400"/>
    <n v="352200"/>
    <s v="April"/>
    <s v="Saturday"/>
    <b v="1"/>
    <s v="Premium"/>
  </r>
  <r>
    <s v="DUKA-0803"/>
    <s v="2026-04-17"/>
    <x v="7"/>
    <s v="Central"/>
    <s v="HD Television 32in"/>
    <s v="Television"/>
    <x v="0"/>
    <n v="1"/>
    <n v="27000"/>
    <n v="27000"/>
    <s v="April"/>
    <s v="Friday"/>
    <b v="0"/>
    <s v="Value"/>
  </r>
  <r>
    <s v="DUKA-0804"/>
    <s v="2026-06-22"/>
    <x v="3"/>
    <s v="Western"/>
    <s v="Chromebook Air"/>
    <s v="Computing"/>
    <x v="1"/>
    <n v="3"/>
    <n v="33800"/>
    <n v="101400"/>
    <s v="June"/>
    <s v="Monday"/>
    <b v="0"/>
    <s v="Premium"/>
  </r>
  <r>
    <s v="DUKA-0805"/>
    <s v="2026-06-29"/>
    <x v="2"/>
    <s v="Central"/>
    <s v="4K Television 43in"/>
    <s v="Television"/>
    <x v="1"/>
    <n v="1"/>
    <n v="52300"/>
    <n v="52300"/>
    <s v="June"/>
    <s v="Monday"/>
    <b v="0"/>
    <s v="Premium"/>
  </r>
  <r>
    <s v="DUKA-0806"/>
    <s v="2026-03-15"/>
    <x v="2"/>
    <s v="Central"/>
    <s v="Wireless Headphones"/>
    <s v="Audio"/>
    <x v="1"/>
    <n v="1"/>
    <n v="8900"/>
    <n v="8900"/>
    <s v="March"/>
    <s v="Sunday"/>
    <b v="1"/>
    <s v="Value"/>
  </r>
  <r>
    <s v="DUKA-0807"/>
    <s v="2026-04-06"/>
    <x v="3"/>
    <s v="Western"/>
    <s v="Tablet 10in"/>
    <s v="Computing"/>
    <x v="1"/>
    <n v="1"/>
    <n v="28900"/>
    <n v="28900"/>
    <s v="April"/>
    <s v="Monday"/>
    <b v="0"/>
    <s v="Premium"/>
  </r>
  <r>
    <s v="DUKA-0808"/>
    <s v="2026-03-08"/>
    <x v="4"/>
    <s v="Rift Valley"/>
    <s v="Smartphone X"/>
    <s v="Mobile"/>
    <x v="1"/>
    <n v="2"/>
    <n v="42600"/>
    <n v="85200"/>
    <s v="March"/>
    <s v="Sunday"/>
    <b v="1"/>
    <s v="Premium"/>
  </r>
  <r>
    <s v="DUKA-0809"/>
    <s v="2026-01-09"/>
    <x v="6"/>
    <s v="Rift Valley"/>
    <s v="4K Television 43in"/>
    <s v="Television"/>
    <x v="0"/>
    <n v="2"/>
    <n v="52300"/>
    <n v="104600"/>
    <s v="January"/>
    <s v="Friday"/>
    <b v="0"/>
    <s v="Premium"/>
  </r>
  <r>
    <s v="DUKA-0810"/>
    <s v="2026-01-16"/>
    <x v="4"/>
    <s v="Rift Valley"/>
    <s v="Smartphone X"/>
    <s v="Mobile"/>
    <x v="1"/>
    <n v="2"/>
    <n v="43600"/>
    <n v="87200"/>
    <s v="January"/>
    <s v="Friday"/>
    <b v="0"/>
    <s v="Premium"/>
  </r>
  <r>
    <s v="DUKA-0811"/>
    <s v="2026-01-17"/>
    <x v="4"/>
    <s v="Rift Valley"/>
    <s v="Wireless Headphones"/>
    <s v="Audio"/>
    <x v="1"/>
    <n v="1"/>
    <n v="8100"/>
    <n v="8100"/>
    <s v="January"/>
    <s v="Saturday"/>
    <b v="1"/>
    <s v="Value"/>
  </r>
  <r>
    <s v="DUKA-0812"/>
    <s v="2026-06-20"/>
    <x v="3"/>
    <s v="Western"/>
    <s v="HD Television 32in"/>
    <s v="Television"/>
    <x v="1"/>
    <n v="1"/>
    <n v="25900"/>
    <n v="25900"/>
    <s v="June"/>
    <s v="Saturday"/>
    <b v="1"/>
    <s v="Value"/>
  </r>
  <r>
    <s v="DUKA-0813"/>
    <s v="2026-03-16"/>
    <x v="1"/>
    <s v="Capital"/>
    <s v="Laptop Pro 14"/>
    <s v="Computing"/>
    <x v="1"/>
    <n v="3"/>
    <n v="119000"/>
    <n v="357000"/>
    <s v="March"/>
    <s v="Monday"/>
    <b v="0"/>
    <s v="Premium"/>
  </r>
  <r>
    <s v="DUKA-0814"/>
    <s v="2026-01-15"/>
    <x v="0"/>
    <s v="Coast"/>
    <s v="Chromebook Air"/>
    <s v="Computing"/>
    <x v="1"/>
    <n v="2"/>
    <n v="30400"/>
    <n v="60800"/>
    <s v="January"/>
    <s v="Thursday"/>
    <b v="0"/>
    <s v="Premium"/>
  </r>
  <r>
    <s v="DUKA-0815"/>
    <s v="2026-02-19"/>
    <x v="5"/>
    <s v="Capital"/>
    <s v="Wi-Fi Router AX"/>
    <s v="Networking"/>
    <x v="1"/>
    <n v="4"/>
    <n v="11100"/>
    <n v="44400"/>
    <s v="February"/>
    <s v="Thursday"/>
    <b v="0"/>
    <s v="Value"/>
  </r>
  <r>
    <s v="DUKA-0816"/>
    <s v="2026-06-14"/>
    <x v="6"/>
    <s v="Rift Valley"/>
    <s v="Wi-Fi Router AX"/>
    <s v="Networking"/>
    <x v="1"/>
    <n v="1"/>
    <n v="12800"/>
    <n v="12800"/>
    <s v="June"/>
    <s v="Sunday"/>
    <b v="1"/>
    <s v="Value"/>
  </r>
  <r>
    <s v="DUKA-0817"/>
    <s v="2026-05-16"/>
    <x v="2"/>
    <s v="Central"/>
    <s v="HD Television 32in"/>
    <s v="Television"/>
    <x v="0"/>
    <n v="3"/>
    <n v="28200"/>
    <n v="84600"/>
    <s v="May"/>
    <s v="Saturday"/>
    <b v="1"/>
    <s v="Premium"/>
  </r>
  <r>
    <s v="DUKA-0818"/>
    <s v="2026-03-06"/>
    <x v="4"/>
    <s v="Rift Valley"/>
    <s v="Smartphone X"/>
    <s v="Mobile"/>
    <x v="1"/>
    <n v="1"/>
    <n v="44400"/>
    <n v="44400"/>
    <s v="March"/>
    <s v="Friday"/>
    <b v="0"/>
    <s v="Premium"/>
  </r>
  <r>
    <s v="DUKA-0819"/>
    <s v="2026-03-05"/>
    <x v="2"/>
    <s v="Central"/>
    <s v="Wireless Headphones"/>
    <s v="Audio"/>
    <x v="1"/>
    <n v="2"/>
    <n v="8100"/>
    <n v="16200"/>
    <s v="March"/>
    <s v="Thursday"/>
    <b v="0"/>
    <s v="Value"/>
  </r>
  <r>
    <s v="DUKA-0820"/>
    <s v="2026-06-29"/>
    <x v="2"/>
    <s v="Central"/>
    <s v="Wi-Fi Router AX"/>
    <s v="Networking"/>
    <x v="0"/>
    <n v="1"/>
    <n v="11600"/>
    <n v="11600"/>
    <s v="June"/>
    <s v="Monday"/>
    <b v="0"/>
    <s v="Value"/>
  </r>
  <r>
    <s v="DUKA-0821"/>
    <s v="2026-03-17"/>
    <x v="4"/>
    <s v="Rift Valley"/>
    <s v="Smart Watch"/>
    <s v="Wearables"/>
    <x v="1"/>
    <n v="2"/>
    <n v="22100"/>
    <n v="44200"/>
    <s v="March"/>
    <s v="Tuesday"/>
    <b v="0"/>
    <s v="Value"/>
  </r>
  <r>
    <s v="DUKA-0822"/>
    <s v="2026-01-24"/>
    <x v="3"/>
    <s v="Western"/>
    <s v="Laptop Pro 14"/>
    <s v="Computing"/>
    <x v="1"/>
    <n v="2"/>
    <n v="112400"/>
    <n v="224800"/>
    <s v="January"/>
    <s v="Saturday"/>
    <b v="1"/>
    <s v="Premium"/>
  </r>
  <r>
    <s v="DUKA-0823"/>
    <s v="2026-05-02"/>
    <x v="4"/>
    <s v="Rift Valley"/>
    <s v="Wireless Headphones"/>
    <s v="Audio"/>
    <x v="1"/>
    <n v="1"/>
    <n v="8300"/>
    <n v="8300"/>
    <s v="May"/>
    <s v="Saturday"/>
    <b v="1"/>
    <s v="Value"/>
  </r>
  <r>
    <s v="DUKA-0824"/>
    <s v="2026-02-13"/>
    <x v="1"/>
    <s v="Capital"/>
    <s v="Smart Watch"/>
    <s v="Wearables"/>
    <x v="0"/>
    <n v="3"/>
    <n v="21100"/>
    <n v="63300"/>
    <s v="February"/>
    <s v="Friday"/>
    <b v="0"/>
    <s v="Value"/>
  </r>
  <r>
    <s v="DUKA-0825"/>
    <s v="2026-04-26"/>
    <x v="6"/>
    <s v="Rift Valley"/>
    <s v="Budget Smartphone"/>
    <s v="Mobile"/>
    <x v="1"/>
    <n v="3"/>
    <n v="19200"/>
    <n v="57600"/>
    <s v="April"/>
    <s v="Sunday"/>
    <b v="1"/>
    <s v="Value"/>
  </r>
  <r>
    <s v="DUKA-0826"/>
    <s v="2026-05-24"/>
    <x v="2"/>
    <s v="Central"/>
    <s v="Smart Watch"/>
    <s v="Wearables"/>
    <x v="1"/>
    <n v="2"/>
    <n v="23600"/>
    <n v="47200"/>
    <s v="May"/>
    <s v="Sunday"/>
    <b v="1"/>
    <s v="Value"/>
  </r>
  <r>
    <s v="DUKA-0827"/>
    <s v="2026-04-13"/>
    <x v="6"/>
    <s v="Rift Valley"/>
    <s v="Wireless Headphones"/>
    <s v="Audio"/>
    <x v="0"/>
    <n v="2"/>
    <n v="8000"/>
    <n v="16000"/>
    <s v="April"/>
    <s v="Monday"/>
    <b v="0"/>
    <s v="Value"/>
  </r>
  <r>
    <s v="DUKA-0828"/>
    <s v="2026-03-12"/>
    <x v="6"/>
    <s v="Rift Valley"/>
    <s v="Wi-Fi Router AX"/>
    <s v="Networking"/>
    <x v="0"/>
    <n v="1"/>
    <n v="13000"/>
    <n v="13000"/>
    <s v="March"/>
    <s v="Thursday"/>
    <b v="0"/>
    <s v="Value"/>
  </r>
  <r>
    <s v="DUKA-0829"/>
    <s v="2026-04-21"/>
    <x v="0"/>
    <s v="Coast"/>
    <s v="Bluetooth Speaker"/>
    <s v="Audio"/>
    <x v="1"/>
    <n v="3"/>
    <n v="6800"/>
    <n v="20400"/>
    <s v="April"/>
    <s v="Tuesday"/>
    <b v="0"/>
    <s v="Value"/>
  </r>
  <r>
    <s v="DUKA-0830"/>
    <s v="2026-03-21"/>
    <x v="4"/>
    <s v="Rift Valley"/>
    <s v="Wireless Headphones"/>
    <s v="Audio"/>
    <x v="1"/>
    <n v="1"/>
    <n v="9200"/>
    <n v="9200"/>
    <s v="March"/>
    <s v="Saturday"/>
    <b v="1"/>
    <s v="Value"/>
  </r>
  <r>
    <s v="DUKA-0831"/>
    <s v="2026-04-20"/>
    <x v="6"/>
    <s v="Rift Valley"/>
    <s v="Wireless Headphones"/>
    <s v="Audio"/>
    <x v="1"/>
    <n v="1"/>
    <n v="9100"/>
    <n v="9100"/>
    <s v="April"/>
    <s v="Monday"/>
    <b v="0"/>
    <s v="Value"/>
  </r>
  <r>
    <s v="DUKA-0832"/>
    <s v="2026-02-06"/>
    <x v="3"/>
    <s v="Western"/>
    <s v="Smartphone X"/>
    <s v="Mobile"/>
    <x v="1"/>
    <n v="2"/>
    <n v="44700"/>
    <n v="89400"/>
    <s v="February"/>
    <s v="Friday"/>
    <b v="0"/>
    <s v="Premium"/>
  </r>
  <r>
    <s v="DUKA-0833"/>
    <s v="2026-05-18"/>
    <x v="7"/>
    <s v="Central"/>
    <s v="Smart Watch"/>
    <s v="Wearables"/>
    <x v="0"/>
    <n v="2"/>
    <n v="20900"/>
    <n v="41800"/>
    <s v="May"/>
    <s v="Monday"/>
    <b v="0"/>
    <s v="Value"/>
  </r>
  <r>
    <s v="DUKA-0834"/>
    <s v="2026-01-29"/>
    <x v="0"/>
    <s v="Coast"/>
    <s v="Power Bank 20K"/>
    <s v="Accessories"/>
    <x v="1"/>
    <n v="1"/>
    <n v="4300"/>
    <n v="4300"/>
    <s v="January"/>
    <s v="Thursday"/>
    <b v="0"/>
    <s v="Value"/>
  </r>
  <r>
    <s v="DUKA-0835"/>
    <s v="2026-02-21"/>
    <x v="5"/>
    <s v="Capital"/>
    <s v="Tablet 10in"/>
    <s v="Computing"/>
    <x v="0"/>
    <n v="1"/>
    <n v="29600"/>
    <n v="29600"/>
    <s v="February"/>
    <s v="Saturday"/>
    <b v="1"/>
    <s v="Premium"/>
  </r>
  <r>
    <s v="DUKA-0836"/>
    <s v="2026-06-05"/>
    <x v="4"/>
    <s v="Rift Valley"/>
    <s v="4K Television 43in"/>
    <s v="Television"/>
    <x v="1"/>
    <n v="1"/>
    <n v="55100"/>
    <n v="55100"/>
    <s v="June"/>
    <s v="Friday"/>
    <b v="0"/>
    <s v="Premium"/>
  </r>
  <r>
    <s v="DUKA-0837"/>
    <s v="2026-04-06"/>
    <x v="3"/>
    <s v="Western"/>
    <s v="Tablet 10in"/>
    <s v="Computing"/>
    <x v="1"/>
    <n v="1"/>
    <n v="27300"/>
    <n v="27300"/>
    <s v="April"/>
    <s v="Monday"/>
    <b v="0"/>
    <s v="Value"/>
  </r>
  <r>
    <s v="DUKA-0838"/>
    <s v="2026-04-18"/>
    <x v="1"/>
    <s v="Capital"/>
    <s v="Smartphone X"/>
    <s v="Mobile"/>
    <x v="0"/>
    <n v="3"/>
    <n v="40000"/>
    <n v="120000"/>
    <s v="April"/>
    <s v="Saturday"/>
    <b v="1"/>
    <s v="Premium"/>
  </r>
  <r>
    <s v="DUKA-0839"/>
    <s v="2026-05-05"/>
    <x v="2"/>
    <s v="Central"/>
    <s v="Wireless Headphones"/>
    <s v="Audio"/>
    <x v="1"/>
    <n v="2"/>
    <n v="8700"/>
    <n v="17400"/>
    <s v="May"/>
    <s v="Tuesday"/>
    <b v="0"/>
    <s v="Value"/>
  </r>
  <r>
    <s v="DUKA-0840"/>
    <s v="2026-05-23"/>
    <x v="5"/>
    <s v="Capital"/>
    <s v="4K Television 43in"/>
    <s v="Television"/>
    <x v="1"/>
    <n v="1"/>
    <n v="50000"/>
    <n v="50000"/>
    <s v="May"/>
    <s v="Saturday"/>
    <b v="1"/>
    <s v="Premium"/>
  </r>
  <r>
    <s v="DUKA-0841"/>
    <s v="2026-01-15"/>
    <x v="3"/>
    <s v="Western"/>
    <s v="Bluetooth Speaker"/>
    <s v="Audio"/>
    <x v="0"/>
    <n v="1"/>
    <n v="6300"/>
    <n v="6300"/>
    <s v="January"/>
    <s v="Thursday"/>
    <b v="0"/>
    <s v="Value"/>
  </r>
  <r>
    <s v="DUKA-0842"/>
    <s v="2026-03-08"/>
    <x v="3"/>
    <s v="Western"/>
    <s v="Smartphone X"/>
    <s v="Mobile"/>
    <x v="0"/>
    <n v="1"/>
    <n v="43900"/>
    <n v="43900"/>
    <s v="March"/>
    <s v="Sunday"/>
    <b v="1"/>
    <s v="Premium"/>
  </r>
  <r>
    <s v="DUKA-0843"/>
    <s v="2026-05-14"/>
    <x v="6"/>
    <s v="Rift Valley"/>
    <s v="Budget Smartphone"/>
    <s v="Mobile"/>
    <x v="0"/>
    <n v="1"/>
    <n v="18300"/>
    <n v="18300"/>
    <s v="May"/>
    <s v="Thursday"/>
    <b v="0"/>
    <s v="Value"/>
  </r>
  <r>
    <s v="DUKA-0844"/>
    <s v="2026-03-30"/>
    <x v="0"/>
    <s v="Coast"/>
    <s v="Bluetooth Speaker"/>
    <s v="Audio"/>
    <x v="1"/>
    <n v="5"/>
    <n v="6300"/>
    <n v="31500"/>
    <s v="March"/>
    <s v="Monday"/>
    <b v="0"/>
    <s v="Value"/>
  </r>
  <r>
    <s v="DUKA-0845"/>
    <s v="2026-03-24"/>
    <x v="4"/>
    <s v="Rift Valley"/>
    <s v="Power Bank 20K"/>
    <s v="Accessories"/>
    <x v="0"/>
    <n v="3"/>
    <n v="4700"/>
    <n v="14100"/>
    <s v="March"/>
    <s v="Tuesday"/>
    <b v="0"/>
    <s v="Value"/>
  </r>
  <r>
    <s v="DUKA-0846"/>
    <s v="2026-06-15"/>
    <x v="3"/>
    <s v="Western"/>
    <s v="HD Television 32in"/>
    <s v="Television"/>
    <x v="1"/>
    <n v="1"/>
    <n v="27500"/>
    <n v="27500"/>
    <s v="June"/>
    <s v="Monday"/>
    <b v="0"/>
    <s v="Value"/>
  </r>
  <r>
    <s v="DUKA-0847"/>
    <s v="2026-06-24"/>
    <x v="1"/>
    <s v="Capital"/>
    <s v="Chromebook Air"/>
    <s v="Computing"/>
    <x v="1"/>
    <n v="2"/>
    <n v="33200"/>
    <n v="66400"/>
    <s v="June"/>
    <s v="Wednesday"/>
    <b v="0"/>
    <s v="Premium"/>
  </r>
  <r>
    <s v="DUKA-0848"/>
    <s v="2026-06-13"/>
    <x v="5"/>
    <s v="Capital"/>
    <s v="Power Bank 20K"/>
    <s v="Accessories"/>
    <x v="0"/>
    <n v="1"/>
    <n v="4600"/>
    <n v="4600"/>
    <s v="June"/>
    <s v="Saturday"/>
    <b v="1"/>
    <s v="Value"/>
  </r>
  <r>
    <s v="DUKA-0849"/>
    <s v="2026-01-10"/>
    <x v="5"/>
    <s v="Capital"/>
    <s v="Smart Watch"/>
    <s v="Wearables"/>
    <x v="1"/>
    <n v="2"/>
    <n v="22500"/>
    <n v="45000"/>
    <s v="January"/>
    <s v="Saturday"/>
    <b v="1"/>
    <s v="Value"/>
  </r>
  <r>
    <s v="DUKA-0850"/>
    <s v="2026-04-18"/>
    <x v="6"/>
    <s v="Rift Valley"/>
    <s v="Chromebook Air"/>
    <s v="Computing"/>
    <x v="0"/>
    <n v="1"/>
    <n v="32800"/>
    <n v="32800"/>
    <s v="April"/>
    <s v="Saturday"/>
    <b v="1"/>
    <s v="Premium"/>
  </r>
  <r>
    <s v="DUKA-0851"/>
    <s v="2026-01-25"/>
    <x v="3"/>
    <s v="Western"/>
    <s v="Tablet 10in"/>
    <s v="Computing"/>
    <x v="1"/>
    <n v="2"/>
    <n v="28600"/>
    <n v="57200"/>
    <s v="January"/>
    <s v="Sunday"/>
    <b v="1"/>
    <s v="Premium"/>
  </r>
  <r>
    <s v="DUKA-0852"/>
    <s v="2026-05-04"/>
    <x v="0"/>
    <s v="Coast"/>
    <s v="Laptop Pro 14"/>
    <s v="Computing"/>
    <x v="1"/>
    <n v="2"/>
    <n v="111800"/>
    <n v="223600"/>
    <s v="May"/>
    <s v="Monday"/>
    <b v="0"/>
    <s v="Premium"/>
  </r>
  <r>
    <s v="DUKA-0853"/>
    <s v="2026-02-15"/>
    <x v="6"/>
    <s v="Rift Valley"/>
    <s v="4K Television 43in"/>
    <s v="Television"/>
    <x v="1"/>
    <n v="1"/>
    <n v="52500"/>
    <n v="52500"/>
    <s v="February"/>
    <s v="Sunday"/>
    <b v="1"/>
    <s v="Premium"/>
  </r>
  <r>
    <s v="DUKA-0854"/>
    <s v="2026-01-14"/>
    <x v="4"/>
    <s v="Rift Valley"/>
    <s v="Chromebook Air"/>
    <s v="Computing"/>
    <x v="0"/>
    <n v="1"/>
    <n v="30700"/>
    <n v="30700"/>
    <s v="January"/>
    <s v="Wednesday"/>
    <b v="0"/>
    <s v="Premium"/>
  </r>
  <r>
    <s v="DUKA-0855"/>
    <s v="2026-04-28"/>
    <x v="5"/>
    <s v="Capital"/>
    <s v="Wi-Fi Router AX"/>
    <s v="Networking"/>
    <x v="1"/>
    <n v="1"/>
    <n v="11800"/>
    <n v="11800"/>
    <s v="April"/>
    <s v="Tuesday"/>
    <b v="0"/>
    <s v="Value"/>
  </r>
  <r>
    <s v="DUKA-0856"/>
    <s v="2026-03-04"/>
    <x v="1"/>
    <s v="Capital"/>
    <s v="Smartphone X"/>
    <s v="Mobile"/>
    <x v="1"/>
    <n v="2"/>
    <n v="42900"/>
    <n v="85800"/>
    <s v="March"/>
    <s v="Wednesday"/>
    <b v="0"/>
    <s v="Premium"/>
  </r>
  <r>
    <s v="DUKA-0857"/>
    <s v="2026-06-18"/>
    <x v="2"/>
    <s v="Central"/>
    <s v="Smartphone X"/>
    <s v="Mobile"/>
    <x v="1"/>
    <n v="1"/>
    <n v="38900"/>
    <n v="38900"/>
    <s v="June"/>
    <s v="Thursday"/>
    <b v="0"/>
    <s v="Premium"/>
  </r>
  <r>
    <s v="DUKA-0858"/>
    <s v="2026-04-13"/>
    <x v="4"/>
    <s v="Rift Valley"/>
    <s v="Tablet 10in"/>
    <s v="Computing"/>
    <x v="1"/>
    <n v="4"/>
    <n v="31200"/>
    <n v="124800"/>
    <s v="April"/>
    <s v="Monday"/>
    <b v="0"/>
    <s v="Premium"/>
  </r>
  <r>
    <s v="DUKA-0859"/>
    <s v="2026-01-19"/>
    <x v="6"/>
    <s v="Rift Valley"/>
    <s v="Laptop Pro 14"/>
    <s v="Computing"/>
    <x v="0"/>
    <n v="1"/>
    <n v="106200"/>
    <n v="106200"/>
    <s v="January"/>
    <s v="Monday"/>
    <b v="0"/>
    <s v="Premium"/>
  </r>
  <r>
    <s v="DUKA-0860"/>
    <s v="2026-03-21"/>
    <x v="2"/>
    <s v="Central"/>
    <s v="Smart Watch"/>
    <s v="Wearables"/>
    <x v="1"/>
    <n v="1"/>
    <n v="22300"/>
    <n v="22300"/>
    <s v="March"/>
    <s v="Saturday"/>
    <b v="1"/>
    <s v="Value"/>
  </r>
  <r>
    <s v="DUKA-0861"/>
    <s v="2026-06-01"/>
    <x v="4"/>
    <s v="Rift Valley"/>
    <s v="Wi-Fi Router AX"/>
    <s v="Networking"/>
    <x v="0"/>
    <n v="2"/>
    <n v="12500"/>
    <n v="25000"/>
    <s v="June"/>
    <s v="Monday"/>
    <b v="0"/>
    <s v="Value"/>
  </r>
  <r>
    <s v="DUKA-0862"/>
    <s v="2026-02-25"/>
    <x v="2"/>
    <s v="Central"/>
    <s v="HD Television 32in"/>
    <s v="Television"/>
    <x v="1"/>
    <n v="1"/>
    <n v="25900"/>
    <n v="25900"/>
    <s v="February"/>
    <s v="Wednesday"/>
    <b v="0"/>
    <s v="Value"/>
  </r>
  <r>
    <s v="DUKA-0863"/>
    <s v="2026-05-02"/>
    <x v="7"/>
    <s v="Central"/>
    <s v="Wi-Fi Router AX"/>
    <s v="Networking"/>
    <x v="0"/>
    <n v="1"/>
    <n v="12300"/>
    <n v="12300"/>
    <s v="May"/>
    <s v="Saturday"/>
    <b v="1"/>
    <s v="Value"/>
  </r>
  <r>
    <s v="DUKA-0864"/>
    <s v="2026-05-08"/>
    <x v="5"/>
    <s v="Capital"/>
    <s v="Smartphone X"/>
    <s v="Mobile"/>
    <x v="1"/>
    <n v="3"/>
    <n v="42500"/>
    <n v="127500"/>
    <s v="May"/>
    <s v="Friday"/>
    <b v="0"/>
    <s v="Premium"/>
  </r>
  <r>
    <s v="DUKA-0865"/>
    <s v="2026-02-23"/>
    <x v="4"/>
    <s v="Rift Valley"/>
    <s v="Smartphone X"/>
    <s v="Mobile"/>
    <x v="0"/>
    <n v="4"/>
    <n v="45400"/>
    <n v="181600"/>
    <s v="February"/>
    <s v="Monday"/>
    <b v="0"/>
    <s v="Premium"/>
  </r>
  <r>
    <s v="DUKA-0866"/>
    <s v="2026-02-12"/>
    <x v="1"/>
    <s v="Capital"/>
    <s v="Budget Smartphone"/>
    <s v="Mobile"/>
    <x v="1"/>
    <n v="1"/>
    <n v="17800"/>
    <n v="17800"/>
    <s v="February"/>
    <s v="Thursday"/>
    <b v="0"/>
    <s v="Value"/>
  </r>
  <r>
    <s v="DUKA-0867"/>
    <s v="2026-05-15"/>
    <x v="1"/>
    <s v="Capital"/>
    <s v="Smartphone X"/>
    <s v="Mobile"/>
    <x v="1"/>
    <n v="1"/>
    <n v="41100"/>
    <n v="41100"/>
    <s v="May"/>
    <s v="Friday"/>
    <b v="0"/>
    <s v="Premium"/>
  </r>
  <r>
    <s v="DUKA-0868"/>
    <s v="2026-06-14"/>
    <x v="6"/>
    <s v="Rift Valley"/>
    <s v="Tablet 10in"/>
    <s v="Computing"/>
    <x v="1"/>
    <n v="2"/>
    <n v="27500"/>
    <n v="55000"/>
    <s v="June"/>
    <s v="Sunday"/>
    <b v="1"/>
    <s v="Value"/>
  </r>
  <r>
    <s v="DUKA-0869"/>
    <s v="2026-03-14"/>
    <x v="6"/>
    <s v="Rift Valley"/>
    <s v="Bluetooth Speaker"/>
    <s v="Audio"/>
    <x v="1"/>
    <n v="1"/>
    <n v="6800"/>
    <n v="6800"/>
    <s v="March"/>
    <s v="Saturday"/>
    <b v="1"/>
    <s v="Value"/>
  </r>
  <r>
    <s v="DUKA-0870"/>
    <s v="2026-02-07"/>
    <x v="0"/>
    <s v="Coast"/>
    <s v="Budget Smartphone"/>
    <s v="Mobile"/>
    <x v="1"/>
    <n v="1"/>
    <n v="19000"/>
    <n v="19000"/>
    <s v="February"/>
    <s v="Saturday"/>
    <b v="1"/>
    <s v="Value"/>
  </r>
  <r>
    <s v="DUKA-0871"/>
    <s v="2026-04-05"/>
    <x v="0"/>
    <s v="Coast"/>
    <s v="Chromebook Air"/>
    <s v="Computing"/>
    <x v="0"/>
    <n v="1"/>
    <n v="31100"/>
    <n v="31100"/>
    <s v="April"/>
    <s v="Sunday"/>
    <b v="1"/>
    <s v="Premium"/>
  </r>
  <r>
    <s v="DUKA-0872"/>
    <s v="2026-05-10"/>
    <x v="2"/>
    <s v="Central"/>
    <s v="Budget Smartphone"/>
    <s v="Mobile"/>
    <x v="1"/>
    <n v="1"/>
    <n v="19200"/>
    <n v="19200"/>
    <s v="May"/>
    <s v="Sunday"/>
    <b v="1"/>
    <s v="Value"/>
  </r>
  <r>
    <s v="DUKA-0873"/>
    <s v="2026-04-18"/>
    <x v="5"/>
    <s v="Capital"/>
    <s v="Smart Watch"/>
    <s v="Wearables"/>
    <x v="0"/>
    <n v="1"/>
    <n v="20600"/>
    <n v="20600"/>
    <s v="April"/>
    <s v="Saturday"/>
    <b v="1"/>
    <s v="Value"/>
  </r>
  <r>
    <s v="DUKA-0874"/>
    <s v="2026-03-31"/>
    <x v="6"/>
    <s v="Rift Valley"/>
    <s v="Power Bank 20K"/>
    <s v="Accessories"/>
    <x v="1"/>
    <n v="1"/>
    <n v="4500"/>
    <n v="4500"/>
    <s v="March"/>
    <s v="Tuesday"/>
    <b v="0"/>
    <s v="Value"/>
  </r>
  <r>
    <s v="DUKA-0875"/>
    <s v="2026-02-05"/>
    <x v="7"/>
    <s v="Central"/>
    <s v="Smartphone X"/>
    <s v="Mobile"/>
    <x v="0"/>
    <n v="1"/>
    <n v="44500"/>
    <n v="44500"/>
    <s v="February"/>
    <s v="Thursday"/>
    <b v="0"/>
    <s v="Premium"/>
  </r>
  <r>
    <s v="DUKA-0876"/>
    <s v="2026-05-13"/>
    <x v="4"/>
    <s v="Rift Valley"/>
    <s v="Chromebook Air"/>
    <s v="Computing"/>
    <x v="0"/>
    <n v="4"/>
    <n v="32500"/>
    <n v="130000"/>
    <s v="May"/>
    <s v="Wednesday"/>
    <b v="0"/>
    <s v="Premium"/>
  </r>
  <r>
    <s v="DUKA-0877"/>
    <s v="2026-04-12"/>
    <x v="4"/>
    <s v="Rift Valley"/>
    <s v="HD Television 32in"/>
    <s v="Television"/>
    <x v="0"/>
    <n v="1"/>
    <n v="28800"/>
    <n v="28800"/>
    <s v="April"/>
    <s v="Sunday"/>
    <b v="1"/>
    <s v="Premium"/>
  </r>
  <r>
    <s v="DUKA-0878"/>
    <s v="2026-03-15"/>
    <x v="6"/>
    <s v="Rift Valley"/>
    <s v="Wireless Headphones"/>
    <s v="Audio"/>
    <x v="1"/>
    <n v="1"/>
    <n v="9100"/>
    <n v="9100"/>
    <s v="March"/>
    <s v="Sunday"/>
    <b v="1"/>
    <s v="Value"/>
  </r>
  <r>
    <s v="DUKA-0879"/>
    <s v="2026-04-30"/>
    <x v="6"/>
    <s v="Rift Valley"/>
    <s v="Laptop Pro 14"/>
    <s v="Computing"/>
    <x v="1"/>
    <n v="1"/>
    <n v="122600"/>
    <n v="122600"/>
    <s v="April"/>
    <s v="Thursday"/>
    <b v="0"/>
    <s v="Premium"/>
  </r>
  <r>
    <s v="DUKA-0880"/>
    <s v="2026-03-06"/>
    <x v="1"/>
    <s v="Capital"/>
    <s v="Wireless Headphones"/>
    <s v="Audio"/>
    <x v="1"/>
    <n v="1"/>
    <n v="9100"/>
    <n v="9100"/>
    <s v="March"/>
    <s v="Friday"/>
    <b v="0"/>
    <s v="Value"/>
  </r>
  <r>
    <s v="DUKA-0881"/>
    <s v="2026-01-31"/>
    <x v="5"/>
    <s v="Capital"/>
    <s v="Bluetooth Speaker"/>
    <s v="Audio"/>
    <x v="0"/>
    <n v="2"/>
    <n v="6400"/>
    <n v="12800"/>
    <s v="January"/>
    <s v="Saturday"/>
    <b v="1"/>
    <s v="Value"/>
  </r>
  <r>
    <s v="DUKA-0882"/>
    <s v="2026-04-27"/>
    <x v="7"/>
    <s v="Central"/>
    <s v="Wi-Fi Router AX"/>
    <s v="Networking"/>
    <x v="1"/>
    <n v="3"/>
    <n v="12300"/>
    <n v="36900"/>
    <s v="April"/>
    <s v="Monday"/>
    <b v="0"/>
    <s v="Value"/>
  </r>
  <r>
    <s v="DUKA-0883"/>
    <s v="2026-02-18"/>
    <x v="1"/>
    <s v="Capital"/>
    <s v="4K Television 43in"/>
    <s v="Television"/>
    <x v="1"/>
    <n v="1"/>
    <n v="53500"/>
    <n v="53500"/>
    <s v="February"/>
    <s v="Wednesday"/>
    <b v="0"/>
    <s v="Premium"/>
  </r>
  <r>
    <s v="DUKA-0884"/>
    <s v="2026-06-24"/>
    <x v="7"/>
    <s v="Central"/>
    <s v="Bluetooth Speaker"/>
    <s v="Audio"/>
    <x v="1"/>
    <n v="1"/>
    <n v="7200"/>
    <n v="7200"/>
    <s v="June"/>
    <s v="Wednesday"/>
    <b v="0"/>
    <s v="Value"/>
  </r>
  <r>
    <s v="DUKA-0885"/>
    <s v="2026-02-28"/>
    <x v="0"/>
    <s v="Coast"/>
    <s v="HD Television 32in"/>
    <s v="Television"/>
    <x v="0"/>
    <n v="2"/>
    <n v="25900"/>
    <n v="51800"/>
    <s v="February"/>
    <s v="Saturday"/>
    <b v="1"/>
    <s v="Value"/>
  </r>
  <r>
    <s v="DUKA-0886"/>
    <s v="2026-05-05"/>
    <x v="2"/>
    <s v="Central"/>
    <s v="Power Bank 20K"/>
    <s v="Accessories"/>
    <x v="0"/>
    <n v="1"/>
    <n v="4700"/>
    <n v="4700"/>
    <s v="May"/>
    <s v="Tuesday"/>
    <b v="0"/>
    <s v="Value"/>
  </r>
  <r>
    <s v="DUKA-0887"/>
    <s v="2026-02-05"/>
    <x v="5"/>
    <s v="Capital"/>
    <s v="Budget Smartphone"/>
    <s v="Mobile"/>
    <x v="0"/>
    <n v="2"/>
    <n v="18700"/>
    <n v="37400"/>
    <s v="February"/>
    <s v="Thursday"/>
    <b v="0"/>
    <s v="Value"/>
  </r>
  <r>
    <s v="DUKA-0888"/>
    <s v="2026-01-03"/>
    <x v="2"/>
    <s v="Central"/>
    <s v="Bluetooth Speaker"/>
    <s v="Audio"/>
    <x v="0"/>
    <n v="2"/>
    <n v="6700"/>
    <n v="13400"/>
    <s v="January"/>
    <s v="Saturday"/>
    <b v="1"/>
    <s v="Value"/>
  </r>
  <r>
    <s v="DUKA-0889"/>
    <s v="2026-06-28"/>
    <x v="2"/>
    <s v="Central"/>
    <s v="Power Bank 20K"/>
    <s v="Accessories"/>
    <x v="1"/>
    <n v="3"/>
    <n v="4300"/>
    <n v="12900"/>
    <s v="June"/>
    <s v="Sunday"/>
    <b v="1"/>
    <s v="Value"/>
  </r>
  <r>
    <s v="DUKA-0890"/>
    <s v="2026-01-06"/>
    <x v="0"/>
    <s v="Coast"/>
    <s v="Chromebook Air"/>
    <s v="Computing"/>
    <x v="1"/>
    <n v="2"/>
    <n v="31200"/>
    <n v="62400"/>
    <s v="January"/>
    <s v="Tuesday"/>
    <b v="0"/>
    <s v="Premium"/>
  </r>
  <r>
    <s v="DUKA-0891"/>
    <s v="2026-01-02"/>
    <x v="2"/>
    <s v="Central"/>
    <s v="Smart Watch"/>
    <s v="Wearables"/>
    <x v="1"/>
    <n v="3"/>
    <n v="22700"/>
    <n v="68100"/>
    <s v="January"/>
    <s v="Friday"/>
    <b v="0"/>
    <s v="Value"/>
  </r>
  <r>
    <s v="DUKA-0892"/>
    <s v="2026-02-08"/>
    <x v="0"/>
    <s v="Coast"/>
    <s v="Laptop Pro 14"/>
    <s v="Computing"/>
    <x v="0"/>
    <n v="1"/>
    <n v="106900"/>
    <n v="106900"/>
    <s v="February"/>
    <s v="Sunday"/>
    <b v="1"/>
    <s v="Premium"/>
  </r>
  <r>
    <s v="DUKA-0893"/>
    <s v="2026-01-15"/>
    <x v="1"/>
    <s v="Capital"/>
    <s v="Smartphone X"/>
    <s v="Mobile"/>
    <x v="1"/>
    <n v="2"/>
    <n v="40600"/>
    <n v="81200"/>
    <s v="January"/>
    <s v="Thursday"/>
    <b v="0"/>
    <s v="Premium"/>
  </r>
  <r>
    <s v="DUKA-0894"/>
    <s v="2026-03-05"/>
    <x v="0"/>
    <s v="Coast"/>
    <s v="Power Bank 20K"/>
    <s v="Accessories"/>
    <x v="1"/>
    <n v="1"/>
    <n v="4600"/>
    <n v="4600"/>
    <s v="March"/>
    <s v="Thursday"/>
    <b v="0"/>
    <s v="Value"/>
  </r>
  <r>
    <s v="DUKA-0895"/>
    <s v="2026-05-18"/>
    <x v="7"/>
    <s v="Central"/>
    <s v="Power Bank 20K"/>
    <s v="Accessories"/>
    <x v="1"/>
    <n v="2"/>
    <n v="4600"/>
    <n v="9200"/>
    <s v="May"/>
    <s v="Monday"/>
    <b v="0"/>
    <s v="Value"/>
  </r>
  <r>
    <s v="DUKA-0896"/>
    <s v="2026-01-29"/>
    <x v="7"/>
    <s v="Central"/>
    <s v="Laptop Pro 14"/>
    <s v="Computing"/>
    <x v="1"/>
    <n v="1"/>
    <n v="115600"/>
    <n v="115600"/>
    <s v="January"/>
    <s v="Thursday"/>
    <b v="0"/>
    <s v="Premium"/>
  </r>
  <r>
    <s v="DUKA-0897"/>
    <s v="2026-06-30"/>
    <x v="2"/>
    <s v="Central"/>
    <s v="Tablet 10in"/>
    <s v="Computing"/>
    <x v="1"/>
    <n v="1"/>
    <n v="30800"/>
    <n v="30800"/>
    <s v="June"/>
    <s v="Tuesday"/>
    <b v="0"/>
    <s v="Premium"/>
  </r>
  <r>
    <s v="DUKA-0898"/>
    <s v="2026-06-22"/>
    <x v="2"/>
    <s v="Central"/>
    <s v="HD Television 32in"/>
    <s v="Television"/>
    <x v="1"/>
    <n v="2"/>
    <n v="27400"/>
    <n v="54800"/>
    <s v="June"/>
    <s v="Monday"/>
    <b v="0"/>
    <s v="Value"/>
  </r>
  <r>
    <s v="DUKA-0899"/>
    <s v="2026-03-13"/>
    <x v="4"/>
    <s v="Rift Valley"/>
    <s v="Smartphone X"/>
    <s v="Mobile"/>
    <x v="1"/>
    <n v="2"/>
    <n v="41200"/>
    <n v="82400"/>
    <s v="March"/>
    <s v="Friday"/>
    <b v="0"/>
    <s v="Premium"/>
  </r>
  <r>
    <s v="DUKA-0900"/>
    <s v="2026-02-18"/>
    <x v="5"/>
    <s v="Capital"/>
    <s v="HD Television 32in"/>
    <s v="Television"/>
    <x v="0"/>
    <n v="1"/>
    <n v="25400"/>
    <n v="25400"/>
    <s v="February"/>
    <s v="Wednesday"/>
    <b v="0"/>
    <s v="Value"/>
  </r>
  <r>
    <s v="DUKA-0901"/>
    <s v="2026-01-19"/>
    <x v="6"/>
    <s v="Rift Valley"/>
    <s v="Wireless Headphones"/>
    <s v="Audio"/>
    <x v="1"/>
    <n v="1"/>
    <n v="8500"/>
    <n v="8500"/>
    <s v="January"/>
    <s v="Monday"/>
    <b v="0"/>
    <s v="Value"/>
  </r>
  <r>
    <s v="DUKA-0902"/>
    <s v="2026-03-25"/>
    <x v="3"/>
    <s v="Western"/>
    <s v="Tablet 10in"/>
    <s v="Computing"/>
    <x v="1"/>
    <n v="2"/>
    <n v="29000"/>
    <n v="58000"/>
    <s v="March"/>
    <s v="Wednesday"/>
    <b v="0"/>
    <s v="Premium"/>
  </r>
  <r>
    <s v="DUKA-0903"/>
    <s v="2026-04-12"/>
    <x v="7"/>
    <s v="Central"/>
    <s v="Chromebook Air"/>
    <s v="Computing"/>
    <x v="0"/>
    <n v="1"/>
    <n v="32700"/>
    <n v="32700"/>
    <s v="April"/>
    <s v="Sunday"/>
    <b v="1"/>
    <s v="Premium"/>
  </r>
  <r>
    <s v="DUKA-0904"/>
    <s v="2026-01-26"/>
    <x v="3"/>
    <s v="Western"/>
    <s v="Budget Smartphone"/>
    <s v="Mobile"/>
    <x v="1"/>
    <n v="1"/>
    <n v="19400"/>
    <n v="19400"/>
    <s v="January"/>
    <s v="Monday"/>
    <b v="0"/>
    <s v="Value"/>
  </r>
  <r>
    <s v="DUKA-0905"/>
    <s v="2026-06-25"/>
    <x v="5"/>
    <s v="Capital"/>
    <s v="Smart Watch"/>
    <s v="Wearables"/>
    <x v="0"/>
    <n v="2"/>
    <n v="23000"/>
    <n v="46000"/>
    <s v="June"/>
    <s v="Thursday"/>
    <b v="0"/>
    <s v="Value"/>
  </r>
  <r>
    <s v="DUKA-0906"/>
    <s v="2026-02-25"/>
    <x v="4"/>
    <s v="Rift Valley"/>
    <s v="Laptop Pro 14"/>
    <s v="Computing"/>
    <x v="0"/>
    <n v="2"/>
    <n v="121900"/>
    <n v="243800"/>
    <s v="February"/>
    <s v="Wednesday"/>
    <b v="0"/>
    <s v="Premium"/>
  </r>
  <r>
    <s v="DUKA-0907"/>
    <s v="2026-04-20"/>
    <x v="2"/>
    <s v="Central"/>
    <s v="Chromebook Air"/>
    <s v="Computing"/>
    <x v="0"/>
    <n v="1"/>
    <n v="31400"/>
    <n v="31400"/>
    <s v="April"/>
    <s v="Monday"/>
    <b v="0"/>
    <s v="Premium"/>
  </r>
  <r>
    <s v="DUKA-0908"/>
    <s v="2026-04-09"/>
    <x v="2"/>
    <s v="Central"/>
    <s v="HD Television 32in"/>
    <s v="Television"/>
    <x v="1"/>
    <n v="1"/>
    <n v="25800"/>
    <n v="25800"/>
    <s v="April"/>
    <s v="Thursday"/>
    <b v="0"/>
    <s v="Value"/>
  </r>
  <r>
    <s v="DUKA-0909"/>
    <s v="2026-05-05"/>
    <x v="5"/>
    <s v="Capital"/>
    <s v="Chromebook Air"/>
    <s v="Computing"/>
    <x v="1"/>
    <n v="2"/>
    <n v="31300"/>
    <n v="62600"/>
    <s v="May"/>
    <s v="Tuesday"/>
    <b v="0"/>
    <s v="Premium"/>
  </r>
  <r>
    <s v="DUKA-0910"/>
    <s v="2026-03-17"/>
    <x v="5"/>
    <s v="Capital"/>
    <s v="Chromebook Air"/>
    <s v="Computing"/>
    <x v="1"/>
    <n v="3"/>
    <n v="30100"/>
    <n v="90300"/>
    <s v="March"/>
    <s v="Tuesday"/>
    <b v="0"/>
    <s v="Premium"/>
  </r>
  <r>
    <s v="DUKA-0911"/>
    <s v="2026-06-05"/>
    <x v="0"/>
    <s v="Coast"/>
    <s v="Bluetooth Speaker"/>
    <s v="Audio"/>
    <x v="0"/>
    <n v="1"/>
    <n v="6400"/>
    <n v="6400"/>
    <s v="June"/>
    <s v="Friday"/>
    <b v="0"/>
    <s v="Value"/>
  </r>
  <r>
    <s v="DUKA-0912"/>
    <s v="2026-01-17"/>
    <x v="1"/>
    <s v="Capital"/>
    <s v="Budget Smartphone"/>
    <s v="Mobile"/>
    <x v="1"/>
    <n v="1"/>
    <n v="19100"/>
    <n v="19100"/>
    <s v="January"/>
    <s v="Saturday"/>
    <b v="1"/>
    <s v="Value"/>
  </r>
  <r>
    <s v="DUKA-0913"/>
    <s v="2026-04-28"/>
    <x v="5"/>
    <s v="Capital"/>
    <s v="4K Television 43in"/>
    <s v="Television"/>
    <x v="1"/>
    <n v="5"/>
    <n v="55800"/>
    <n v="279000"/>
    <s v="April"/>
    <s v="Tuesday"/>
    <b v="0"/>
    <s v="Premium"/>
  </r>
  <r>
    <s v="DUKA-0914"/>
    <s v="2026-05-16"/>
    <x v="6"/>
    <s v="Rift Valley"/>
    <s v="Smart Watch"/>
    <s v="Wearables"/>
    <x v="0"/>
    <n v="2"/>
    <n v="20900"/>
    <n v="41800"/>
    <s v="May"/>
    <s v="Saturday"/>
    <b v="1"/>
    <s v="Value"/>
  </r>
  <r>
    <s v="DUKA-0915"/>
    <s v="2026-05-22"/>
    <x v="5"/>
    <s v="Capital"/>
    <s v="Tablet 10in"/>
    <s v="Computing"/>
    <x v="1"/>
    <n v="1"/>
    <n v="27400"/>
    <n v="27400"/>
    <s v="May"/>
    <s v="Friday"/>
    <b v="0"/>
    <s v="Value"/>
  </r>
  <r>
    <s v="DUKA-0916"/>
    <s v="2026-06-25"/>
    <x v="2"/>
    <s v="Central"/>
    <s v="Wi-Fi Router AX"/>
    <s v="Networking"/>
    <x v="1"/>
    <n v="1"/>
    <n v="12800"/>
    <n v="12800"/>
    <s v="June"/>
    <s v="Thursday"/>
    <b v="0"/>
    <s v="Value"/>
  </r>
  <r>
    <s v="DUKA-0917"/>
    <s v="2026-06-16"/>
    <x v="0"/>
    <s v="Coast"/>
    <s v="HD Television 32in"/>
    <s v="Television"/>
    <x v="0"/>
    <n v="3"/>
    <n v="28800"/>
    <n v="86400"/>
    <s v="June"/>
    <s v="Tuesday"/>
    <b v="0"/>
    <s v="Premium"/>
  </r>
  <r>
    <s v="DUKA-0918"/>
    <s v="2026-02-12"/>
    <x v="4"/>
    <s v="Rift Valley"/>
    <s v="Laptop Pro 14"/>
    <s v="Computing"/>
    <x v="1"/>
    <n v="2"/>
    <n v="122900"/>
    <n v="245800"/>
    <s v="February"/>
    <s v="Thursday"/>
    <b v="0"/>
    <s v="Premium"/>
  </r>
  <r>
    <s v="DUKA-0919"/>
    <s v="2026-03-09"/>
    <x v="4"/>
    <s v="Rift Valley"/>
    <s v="Smart Watch"/>
    <s v="Wearables"/>
    <x v="1"/>
    <n v="1"/>
    <n v="21600"/>
    <n v="21600"/>
    <s v="March"/>
    <s v="Monday"/>
    <b v="0"/>
    <s v="Value"/>
  </r>
  <r>
    <s v="DUKA-0920"/>
    <s v="2026-02-10"/>
    <x v="3"/>
    <s v="Western"/>
    <s v="Budget Smartphone"/>
    <s v="Mobile"/>
    <x v="0"/>
    <n v="1"/>
    <n v="19500"/>
    <n v="19500"/>
    <s v="February"/>
    <s v="Tuesday"/>
    <b v="0"/>
    <s v="Value"/>
  </r>
  <r>
    <s v="DUKA-0921"/>
    <s v="2026-01-19"/>
    <x v="4"/>
    <s v="Rift Valley"/>
    <s v="Wi-Fi Router AX"/>
    <s v="Networking"/>
    <x v="0"/>
    <n v="1"/>
    <n v="12400"/>
    <n v="12400"/>
    <s v="January"/>
    <s v="Monday"/>
    <b v="0"/>
    <s v="Value"/>
  </r>
  <r>
    <s v="DUKA-0922"/>
    <s v="2026-05-17"/>
    <x v="4"/>
    <s v="Rift Valley"/>
    <s v="Smart Watch"/>
    <s v="Wearables"/>
    <x v="1"/>
    <n v="1"/>
    <n v="21300"/>
    <n v="21300"/>
    <s v="May"/>
    <s v="Sunday"/>
    <b v="1"/>
    <s v="Value"/>
  </r>
  <r>
    <s v="DUKA-0923"/>
    <s v="2026-06-16"/>
    <x v="0"/>
    <s v="Coast"/>
    <s v="Bluetooth Speaker"/>
    <s v="Audio"/>
    <x v="1"/>
    <n v="1"/>
    <n v="6300"/>
    <n v="6300"/>
    <s v="June"/>
    <s v="Tuesday"/>
    <b v="0"/>
    <s v="Value"/>
  </r>
  <r>
    <s v="DUKA-0924"/>
    <s v="2026-03-24"/>
    <x v="3"/>
    <s v="Western"/>
    <s v="4K Television 43in"/>
    <s v="Television"/>
    <x v="1"/>
    <n v="2"/>
    <n v="51200"/>
    <n v="102400"/>
    <s v="March"/>
    <s v="Tuesday"/>
    <b v="0"/>
    <s v="Premium"/>
  </r>
  <r>
    <s v="DUKA-0925"/>
    <s v="2026-06-12"/>
    <x v="5"/>
    <s v="Capital"/>
    <s v="Power Bank 20K"/>
    <s v="Accessories"/>
    <x v="0"/>
    <n v="2"/>
    <n v="4400"/>
    <n v="8800"/>
    <s v="June"/>
    <s v="Friday"/>
    <b v="0"/>
    <s v="Value"/>
  </r>
  <r>
    <s v="DUKA-0926"/>
    <s v="2026-01-08"/>
    <x v="0"/>
    <s v="Coast"/>
    <s v="Tablet 10in"/>
    <s v="Computing"/>
    <x v="0"/>
    <n v="4"/>
    <n v="29000"/>
    <n v="116000"/>
    <s v="January"/>
    <s v="Thursday"/>
    <b v="0"/>
    <s v="Premium"/>
  </r>
  <r>
    <s v="DUKA-0927"/>
    <s v="2026-05-18"/>
    <x v="0"/>
    <s v="Coast"/>
    <s v="Smartphone X"/>
    <s v="Mobile"/>
    <x v="0"/>
    <n v="1"/>
    <n v="43000"/>
    <n v="43000"/>
    <s v="May"/>
    <s v="Monday"/>
    <b v="0"/>
    <s v="Premium"/>
  </r>
  <r>
    <s v="DUKA-0928"/>
    <s v="2026-01-09"/>
    <x v="2"/>
    <s v="Central"/>
    <s v="4K Television 43in"/>
    <s v="Television"/>
    <x v="1"/>
    <n v="1"/>
    <n v="58100"/>
    <n v="58100"/>
    <s v="January"/>
    <s v="Friday"/>
    <b v="0"/>
    <s v="Premium"/>
  </r>
  <r>
    <s v="DUKA-0929"/>
    <s v="2026-04-25"/>
    <x v="3"/>
    <s v="Western"/>
    <s v="Wireless Headphones"/>
    <s v="Audio"/>
    <x v="1"/>
    <n v="5"/>
    <n v="8500"/>
    <n v="42500"/>
    <s v="April"/>
    <s v="Saturday"/>
    <b v="1"/>
    <s v="Value"/>
  </r>
  <r>
    <s v="DUKA-0930"/>
    <s v="2026-06-27"/>
    <x v="3"/>
    <s v="Western"/>
    <s v="Laptop Pro 14"/>
    <s v="Computing"/>
    <x v="1"/>
    <n v="2"/>
    <n v="108200"/>
    <n v="216400"/>
    <s v="June"/>
    <s v="Saturday"/>
    <b v="1"/>
    <s v="Premium"/>
  </r>
  <r>
    <s v="DUKA-0931"/>
    <s v="2026-03-13"/>
    <x v="5"/>
    <s v="Capital"/>
    <s v="Smart Watch"/>
    <s v="Wearables"/>
    <x v="1"/>
    <n v="2"/>
    <n v="23200"/>
    <n v="46400"/>
    <s v="March"/>
    <s v="Friday"/>
    <b v="0"/>
    <s v="Value"/>
  </r>
  <r>
    <s v="DUKA-0932"/>
    <s v="2026-05-11"/>
    <x v="3"/>
    <s v="Western"/>
    <s v="Budget Smartphone"/>
    <s v="Mobile"/>
    <x v="1"/>
    <n v="2"/>
    <n v="19800"/>
    <n v="39600"/>
    <s v="May"/>
    <s v="Monday"/>
    <b v="0"/>
    <s v="Value"/>
  </r>
  <r>
    <s v="DUKA-0933"/>
    <s v="2026-05-22"/>
    <x v="1"/>
    <s v="Capital"/>
    <s v="Wireless Headphones"/>
    <s v="Audio"/>
    <x v="1"/>
    <n v="1"/>
    <n v="8500"/>
    <n v="8500"/>
    <s v="May"/>
    <s v="Friday"/>
    <b v="0"/>
    <s v="Value"/>
  </r>
  <r>
    <s v="DUKA-0934"/>
    <s v="2026-04-04"/>
    <x v="7"/>
    <s v="Central"/>
    <s v="Bluetooth Speaker"/>
    <s v="Audio"/>
    <x v="0"/>
    <n v="1"/>
    <n v="7300"/>
    <n v="7300"/>
    <s v="April"/>
    <s v="Saturday"/>
    <b v="1"/>
    <s v="Value"/>
  </r>
  <r>
    <s v="DUKA-0935"/>
    <s v="2026-03-17"/>
    <x v="3"/>
    <s v="Western"/>
    <s v="Laptop Pro 14"/>
    <s v="Computing"/>
    <x v="1"/>
    <n v="1"/>
    <n v="109300"/>
    <n v="109300"/>
    <s v="March"/>
    <s v="Tuesday"/>
    <b v="0"/>
    <s v="Premium"/>
  </r>
  <r>
    <s v="DUKA-0936"/>
    <s v="2026-01-29"/>
    <x v="1"/>
    <s v="Capital"/>
    <s v="Wi-Fi Router AX"/>
    <s v="Networking"/>
    <x v="1"/>
    <n v="2"/>
    <n v="12700"/>
    <n v="25400"/>
    <s v="January"/>
    <s v="Thursday"/>
    <b v="0"/>
    <s v="Value"/>
  </r>
  <r>
    <s v="DUKA-0937"/>
    <s v="2026-05-08"/>
    <x v="6"/>
    <s v="Rift Valley"/>
    <s v="HD Television 32in"/>
    <s v="Television"/>
    <x v="0"/>
    <n v="2"/>
    <n v="27800"/>
    <n v="55600"/>
    <s v="May"/>
    <s v="Friday"/>
    <b v="0"/>
    <s v="Value"/>
  </r>
  <r>
    <s v="DUKA-0938"/>
    <s v="2026-06-14"/>
    <x v="7"/>
    <s v="Central"/>
    <s v="Smartphone X"/>
    <s v="Mobile"/>
    <x v="1"/>
    <n v="2"/>
    <n v="38700"/>
    <n v="77400"/>
    <s v="June"/>
    <s v="Sunday"/>
    <b v="1"/>
    <s v="Premium"/>
  </r>
  <r>
    <s v="DUKA-0939"/>
    <s v="2026-03-10"/>
    <x v="3"/>
    <s v="Western"/>
    <s v="Budget Smartphone"/>
    <s v="Mobile"/>
    <x v="1"/>
    <n v="2"/>
    <n v="18300"/>
    <n v="36600"/>
    <s v="March"/>
    <s v="Tuesday"/>
    <b v="0"/>
    <s v="Value"/>
  </r>
  <r>
    <s v="DUKA-0940"/>
    <s v="2026-03-09"/>
    <x v="1"/>
    <s v="Capital"/>
    <s v="Wireless Headphones"/>
    <s v="Audio"/>
    <x v="1"/>
    <n v="1"/>
    <n v="7800"/>
    <n v="7800"/>
    <s v="March"/>
    <s v="Monday"/>
    <b v="0"/>
    <s v="Value"/>
  </r>
  <r>
    <s v="DUKA-0941"/>
    <s v="2026-02-02"/>
    <x v="0"/>
    <s v="Coast"/>
    <s v="Smart Watch"/>
    <s v="Wearables"/>
    <x v="0"/>
    <n v="3"/>
    <n v="20600"/>
    <n v="61800"/>
    <s v="February"/>
    <s v="Monday"/>
    <b v="0"/>
    <s v="Value"/>
  </r>
  <r>
    <s v="DUKA-0942"/>
    <s v="2026-03-01"/>
    <x v="2"/>
    <s v="Central"/>
    <s v="Wireless Headphones"/>
    <s v="Audio"/>
    <x v="0"/>
    <n v="2"/>
    <n v="8800"/>
    <n v="17600"/>
    <s v="March"/>
    <s v="Sunday"/>
    <b v="1"/>
    <s v="Value"/>
  </r>
  <r>
    <s v="DUKA-0943"/>
    <s v="2026-04-24"/>
    <x v="7"/>
    <s v="Central"/>
    <s v="Bluetooth Speaker"/>
    <s v="Audio"/>
    <x v="0"/>
    <n v="2"/>
    <n v="6600"/>
    <n v="13200"/>
    <s v="April"/>
    <s v="Friday"/>
    <b v="0"/>
    <s v="Value"/>
  </r>
  <r>
    <s v="DUKA-0944"/>
    <s v="2026-05-24"/>
    <x v="4"/>
    <s v="Rift Valley"/>
    <s v="Wi-Fi Router AX"/>
    <s v="Networking"/>
    <x v="0"/>
    <n v="5"/>
    <n v="11300"/>
    <n v="56500"/>
    <s v="May"/>
    <s v="Sunday"/>
    <b v="1"/>
    <s v="Value"/>
  </r>
  <r>
    <s v="DUKA-0945"/>
    <s v="2026-06-19"/>
    <x v="5"/>
    <s v="Capital"/>
    <s v="Power Bank 20K"/>
    <s v="Accessories"/>
    <x v="1"/>
    <n v="1"/>
    <n v="4500"/>
    <n v="4500"/>
    <s v="June"/>
    <s v="Friday"/>
    <b v="0"/>
    <s v="Value"/>
  </r>
  <r>
    <s v="DUKA-0946"/>
    <s v="2026-05-29"/>
    <x v="6"/>
    <s v="Rift Valley"/>
    <s v="Laptop Pro 14"/>
    <s v="Computing"/>
    <x v="1"/>
    <n v="1"/>
    <n v="121000"/>
    <n v="121000"/>
    <s v="May"/>
    <s v="Friday"/>
    <b v="0"/>
    <s v="Premium"/>
  </r>
  <r>
    <s v="DUKA-0947"/>
    <s v="2026-04-02"/>
    <x v="1"/>
    <s v="Capital"/>
    <s v="Wi-Fi Router AX"/>
    <s v="Networking"/>
    <x v="1"/>
    <n v="2"/>
    <n v="11300"/>
    <n v="22600"/>
    <s v="April"/>
    <s v="Thursday"/>
    <b v="0"/>
    <s v="Value"/>
  </r>
  <r>
    <s v="DUKA-0948"/>
    <s v="2026-01-04"/>
    <x v="4"/>
    <s v="Rift Valley"/>
    <s v="Smart Watch"/>
    <s v="Wearables"/>
    <x v="1"/>
    <n v="1"/>
    <n v="21400"/>
    <n v="21400"/>
    <s v="January"/>
    <s v="Sunday"/>
    <b v="1"/>
    <s v="Value"/>
  </r>
  <r>
    <s v="DUKA-0949"/>
    <s v="2026-02-04"/>
    <x v="6"/>
    <s v="Rift Valley"/>
    <s v="Smart Watch"/>
    <s v="Wearables"/>
    <x v="1"/>
    <n v="2"/>
    <n v="23300"/>
    <n v="46600"/>
    <s v="February"/>
    <s v="Wednesday"/>
    <b v="0"/>
    <s v="Value"/>
  </r>
  <r>
    <s v="DUKA-0950"/>
    <s v="2026-04-10"/>
    <x v="3"/>
    <s v="Western"/>
    <s v="Chromebook Air"/>
    <s v="Computing"/>
    <x v="1"/>
    <n v="2"/>
    <n v="33400"/>
    <n v="66800"/>
    <s v="April"/>
    <s v="Friday"/>
    <b v="0"/>
    <s v="Premium"/>
  </r>
  <r>
    <s v="DUKA-0951"/>
    <s v="2026-04-24"/>
    <x v="2"/>
    <s v="Central"/>
    <s v="Power Bank 20K"/>
    <s v="Accessories"/>
    <x v="1"/>
    <n v="1"/>
    <n v="4200"/>
    <n v="4200"/>
    <s v="April"/>
    <s v="Friday"/>
    <b v="0"/>
    <s v="Value"/>
  </r>
  <r>
    <s v="DUKA-0952"/>
    <s v="2026-03-05"/>
    <x v="7"/>
    <s v="Central"/>
    <s v="Power Bank 20K"/>
    <s v="Accessories"/>
    <x v="1"/>
    <n v="1"/>
    <n v="4700"/>
    <n v="4700"/>
    <s v="March"/>
    <s v="Thursday"/>
    <b v="0"/>
    <s v="Value"/>
  </r>
  <r>
    <s v="DUKA-0953"/>
    <s v="2026-04-16"/>
    <x v="4"/>
    <s v="Rift Valley"/>
    <s v="Budget Smartphone"/>
    <s v="Mobile"/>
    <x v="0"/>
    <n v="1"/>
    <n v="19700"/>
    <n v="19700"/>
    <s v="April"/>
    <s v="Thursday"/>
    <b v="0"/>
    <s v="Value"/>
  </r>
  <r>
    <s v="DUKA-0954"/>
    <s v="2026-06-25"/>
    <x v="5"/>
    <s v="Capital"/>
    <s v="Power Bank 20K"/>
    <s v="Accessories"/>
    <x v="1"/>
    <n v="2"/>
    <n v="4200"/>
    <n v="8400"/>
    <s v="June"/>
    <s v="Thursday"/>
    <b v="0"/>
    <s v="Value"/>
  </r>
  <r>
    <s v="DUKA-0955"/>
    <s v="2026-05-15"/>
    <x v="4"/>
    <s v="Rift Valley"/>
    <s v="Tablet 10in"/>
    <s v="Computing"/>
    <x v="0"/>
    <n v="2"/>
    <n v="27400"/>
    <n v="54800"/>
    <s v="May"/>
    <s v="Friday"/>
    <b v="0"/>
    <s v="Value"/>
  </r>
  <r>
    <s v="DUKA-0956"/>
    <s v="2026-02-26"/>
    <x v="4"/>
    <s v="Rift Valley"/>
    <s v="Smart Watch"/>
    <s v="Wearables"/>
    <x v="1"/>
    <n v="1"/>
    <n v="21300"/>
    <n v="21300"/>
    <s v="February"/>
    <s v="Thursday"/>
    <b v="0"/>
    <s v="Value"/>
  </r>
  <r>
    <s v="DUKA-0957"/>
    <s v="2026-06-27"/>
    <x v="2"/>
    <s v="Central"/>
    <s v="Smart Watch"/>
    <s v="Wearables"/>
    <x v="1"/>
    <n v="1"/>
    <n v="23700"/>
    <n v="23700"/>
    <s v="June"/>
    <s v="Saturday"/>
    <b v="1"/>
    <s v="Value"/>
  </r>
  <r>
    <s v="DUKA-0958"/>
    <s v="2026-02-24"/>
    <x v="0"/>
    <s v="Coast"/>
    <s v="Chromebook Air"/>
    <s v="Computing"/>
    <x v="1"/>
    <n v="2"/>
    <n v="30000"/>
    <n v="60000"/>
    <s v="February"/>
    <s v="Tuesday"/>
    <b v="0"/>
    <s v="Premium"/>
  </r>
  <r>
    <s v="DUKA-0959"/>
    <s v="2026-01-26"/>
    <x v="6"/>
    <s v="Rift Valley"/>
    <s v="Bluetooth Speaker"/>
    <s v="Audio"/>
    <x v="0"/>
    <n v="1"/>
    <n v="6600"/>
    <n v="6600"/>
    <s v="January"/>
    <s v="Monday"/>
    <b v="0"/>
    <s v="Value"/>
  </r>
  <r>
    <s v="DUKA-0960"/>
    <s v="2026-04-30"/>
    <x v="7"/>
    <s v="Central"/>
    <s v="Smart Watch"/>
    <s v="Wearables"/>
    <x v="1"/>
    <n v="1"/>
    <n v="23100"/>
    <n v="23100"/>
    <s v="April"/>
    <s v="Thursday"/>
    <b v="0"/>
    <s v="Value"/>
  </r>
  <r>
    <s v="DUKA-0961"/>
    <s v="2026-05-13"/>
    <x v="7"/>
    <s v="Central"/>
    <s v="Budget Smartphone"/>
    <s v="Mobile"/>
    <x v="0"/>
    <n v="2"/>
    <n v="19200"/>
    <n v="38400"/>
    <s v="May"/>
    <s v="Wednesday"/>
    <b v="0"/>
    <s v="Value"/>
  </r>
  <r>
    <s v="DUKA-0962"/>
    <s v="2026-06-13"/>
    <x v="3"/>
    <s v="Western"/>
    <s v="Laptop Pro 14"/>
    <s v="Computing"/>
    <x v="1"/>
    <n v="3"/>
    <n v="122100"/>
    <n v="366300"/>
    <s v="June"/>
    <s v="Saturday"/>
    <b v="1"/>
    <s v="Premium"/>
  </r>
  <r>
    <s v="DUKA-0963"/>
    <s v="2026-01-17"/>
    <x v="0"/>
    <s v="Coast"/>
    <s v="Laptop Pro 14"/>
    <s v="Computing"/>
    <x v="0"/>
    <n v="2"/>
    <n v="120900"/>
    <n v="241800"/>
    <s v="January"/>
    <s v="Saturday"/>
    <b v="1"/>
    <s v="Premium"/>
  </r>
  <r>
    <s v="DUKA-0964"/>
    <s v="2026-04-27"/>
    <x v="6"/>
    <s v="Rift Valley"/>
    <s v="Wireless Headphones"/>
    <s v="Audio"/>
    <x v="1"/>
    <n v="1"/>
    <n v="7800"/>
    <n v="7800"/>
    <s v="April"/>
    <s v="Monday"/>
    <b v="0"/>
    <s v="Value"/>
  </r>
  <r>
    <s v="DUKA-0965"/>
    <s v="2026-06-24"/>
    <x v="1"/>
    <s v="Capital"/>
    <s v="Budget Smartphone"/>
    <s v="Mobile"/>
    <x v="1"/>
    <n v="1"/>
    <n v="17700"/>
    <n v="17700"/>
    <s v="June"/>
    <s v="Wednesday"/>
    <b v="0"/>
    <s v="Value"/>
  </r>
  <r>
    <s v="DUKA-0966"/>
    <s v="2026-04-12"/>
    <x v="0"/>
    <s v="Coast"/>
    <s v="Laptop Pro 14"/>
    <s v="Computing"/>
    <x v="0"/>
    <n v="1"/>
    <n v="113600"/>
    <n v="113600"/>
    <s v="April"/>
    <s v="Sunday"/>
    <b v="1"/>
    <s v="Premium"/>
  </r>
  <r>
    <s v="DUKA-0967"/>
    <s v="2026-06-06"/>
    <x v="6"/>
    <s v="Rift Valley"/>
    <s v="Tablet 10in"/>
    <s v="Computing"/>
    <x v="0"/>
    <n v="2"/>
    <n v="27900"/>
    <n v="55800"/>
    <s v="June"/>
    <s v="Saturday"/>
    <b v="1"/>
    <s v="Value"/>
  </r>
  <r>
    <s v="DUKA-0968"/>
    <s v="2026-01-22"/>
    <x v="1"/>
    <s v="Capital"/>
    <s v="Bluetooth Speaker"/>
    <s v="Audio"/>
    <x v="1"/>
    <n v="1"/>
    <n v="7200"/>
    <n v="7200"/>
    <s v="January"/>
    <s v="Thursday"/>
    <b v="0"/>
    <s v="Value"/>
  </r>
  <r>
    <s v="DUKA-0969"/>
    <s v="2026-01-03"/>
    <x v="1"/>
    <s v="Capital"/>
    <s v="Power Bank 20K"/>
    <s v="Accessories"/>
    <x v="1"/>
    <n v="1"/>
    <n v="4700"/>
    <n v="4700"/>
    <s v="January"/>
    <s v="Saturday"/>
    <b v="1"/>
    <s v="Value"/>
  </r>
  <r>
    <s v="DUKA-0970"/>
    <s v="2026-02-16"/>
    <x v="0"/>
    <s v="Coast"/>
    <s v="Smartphone X"/>
    <s v="Mobile"/>
    <x v="1"/>
    <n v="4"/>
    <n v="41800"/>
    <n v="167200"/>
    <s v="February"/>
    <s v="Monday"/>
    <b v="0"/>
    <s v="Premium"/>
  </r>
  <r>
    <s v="DUKA-0971"/>
    <s v="2026-06-14"/>
    <x v="3"/>
    <s v="Western"/>
    <s v="Smartphone X"/>
    <s v="Mobile"/>
    <x v="1"/>
    <n v="1"/>
    <n v="42700"/>
    <n v="42700"/>
    <s v="June"/>
    <s v="Sunday"/>
    <b v="1"/>
    <s v="Premium"/>
  </r>
  <r>
    <s v="DUKA-0972"/>
    <s v="2026-05-25"/>
    <x v="7"/>
    <s v="Central"/>
    <s v="Tablet 10in"/>
    <s v="Computing"/>
    <x v="0"/>
    <n v="3"/>
    <n v="31800"/>
    <n v="95400"/>
    <s v="May"/>
    <s v="Monday"/>
    <b v="0"/>
    <s v="Premium"/>
  </r>
  <r>
    <s v="DUKA-0973"/>
    <s v="2026-05-13"/>
    <x v="2"/>
    <s v="Central"/>
    <s v="Tablet 10in"/>
    <s v="Computing"/>
    <x v="0"/>
    <n v="1"/>
    <n v="30400"/>
    <n v="30400"/>
    <s v="May"/>
    <s v="Wednesday"/>
    <b v="0"/>
    <s v="Premium"/>
  </r>
  <r>
    <s v="DUKA-0974"/>
    <s v="2026-01-25"/>
    <x v="1"/>
    <s v="Capital"/>
    <s v="Smartphone X"/>
    <s v="Mobile"/>
    <x v="1"/>
    <n v="1"/>
    <n v="39000"/>
    <n v="39000"/>
    <s v="January"/>
    <s v="Sunday"/>
    <b v="1"/>
    <s v="Premium"/>
  </r>
  <r>
    <s v="DUKA-0975"/>
    <s v="2026-06-19"/>
    <x v="0"/>
    <s v="Coast"/>
    <s v="Laptop Pro 14"/>
    <s v="Computing"/>
    <x v="0"/>
    <n v="5"/>
    <n v="115500"/>
    <n v="577500"/>
    <s v="June"/>
    <s v="Friday"/>
    <b v="0"/>
    <s v="Premium"/>
  </r>
  <r>
    <s v="DUKA-0976"/>
    <s v="2026-06-20"/>
    <x v="4"/>
    <s v="Rift Valley"/>
    <s v="Bluetooth Speaker"/>
    <s v="Audio"/>
    <x v="0"/>
    <n v="4"/>
    <n v="7100"/>
    <n v="28400"/>
    <s v="June"/>
    <s v="Saturday"/>
    <b v="1"/>
    <s v="Value"/>
  </r>
  <r>
    <s v="DUKA-0977"/>
    <s v="2026-03-10"/>
    <x v="1"/>
    <s v="Capital"/>
    <s v="HD Television 32in"/>
    <s v="Television"/>
    <x v="1"/>
    <n v="1"/>
    <n v="28100"/>
    <n v="28100"/>
    <s v="March"/>
    <s v="Tuesday"/>
    <b v="0"/>
    <s v="Premium"/>
  </r>
  <r>
    <s v="DUKA-0978"/>
    <s v="2026-06-21"/>
    <x v="0"/>
    <s v="Coast"/>
    <s v="Smart Watch"/>
    <s v="Wearables"/>
    <x v="0"/>
    <n v="2"/>
    <n v="22500"/>
    <n v="45000"/>
    <s v="June"/>
    <s v="Sunday"/>
    <b v="1"/>
    <s v="Value"/>
  </r>
  <r>
    <s v="DUKA-0979"/>
    <s v="2026-02-15"/>
    <x v="6"/>
    <s v="Rift Valley"/>
    <s v="Smartphone X"/>
    <s v="Mobile"/>
    <x v="0"/>
    <n v="1"/>
    <n v="42500"/>
    <n v="42500"/>
    <s v="February"/>
    <s v="Sunday"/>
    <b v="1"/>
    <s v="Premium"/>
  </r>
  <r>
    <s v="DUKA-0980"/>
    <s v="2026-04-26"/>
    <x v="7"/>
    <s v="Central"/>
    <s v="Budget Smartphone"/>
    <s v="Mobile"/>
    <x v="0"/>
    <n v="3"/>
    <n v="19500"/>
    <n v="58500"/>
    <s v="April"/>
    <s v="Sunday"/>
    <b v="1"/>
    <s v="Value"/>
  </r>
  <r>
    <s v="DUKA-0981"/>
    <s v="2026-04-02"/>
    <x v="6"/>
    <s v="Rift Valley"/>
    <s v="Smartphone X"/>
    <s v="Mobile"/>
    <x v="0"/>
    <n v="1"/>
    <n v="44100"/>
    <n v="44100"/>
    <s v="April"/>
    <s v="Thursday"/>
    <b v="0"/>
    <s v="Premium"/>
  </r>
  <r>
    <s v="DUKA-0982"/>
    <s v="2026-02-24"/>
    <x v="0"/>
    <s v="Coast"/>
    <s v="HD Television 32in"/>
    <s v="Television"/>
    <x v="0"/>
    <n v="1"/>
    <n v="25400"/>
    <n v="25400"/>
    <s v="February"/>
    <s v="Tuesday"/>
    <b v="0"/>
    <s v="Value"/>
  </r>
  <r>
    <s v="DUKA-0983"/>
    <s v="2026-02-06"/>
    <x v="5"/>
    <s v="Capital"/>
    <s v="4K Television 43in"/>
    <s v="Television"/>
    <x v="1"/>
    <n v="1"/>
    <n v="54000"/>
    <n v="54000"/>
    <s v="February"/>
    <s v="Friday"/>
    <b v="0"/>
    <s v="Premium"/>
  </r>
  <r>
    <s v="DUKA-0984"/>
    <s v="2026-06-17"/>
    <x v="2"/>
    <s v="Central"/>
    <s v="4K Television 43in"/>
    <s v="Television"/>
    <x v="1"/>
    <n v="2"/>
    <n v="51300"/>
    <n v="102600"/>
    <s v="June"/>
    <s v="Wednesday"/>
    <b v="0"/>
    <s v="Premium"/>
  </r>
  <r>
    <s v="DUKA-0985"/>
    <s v="2026-06-03"/>
    <x v="2"/>
    <s v="Central"/>
    <s v="Laptop Pro 14"/>
    <s v="Computing"/>
    <x v="0"/>
    <n v="3"/>
    <n v="106200"/>
    <n v="318600"/>
    <s v="June"/>
    <s v="Wednesday"/>
    <b v="0"/>
    <s v="Premium"/>
  </r>
  <r>
    <s v="DUKA-0986"/>
    <s v="2026-05-25"/>
    <x v="0"/>
    <s v="Coast"/>
    <s v="Power Bank 20K"/>
    <s v="Accessories"/>
    <x v="0"/>
    <n v="1"/>
    <n v="4600"/>
    <n v="4600"/>
    <s v="May"/>
    <s v="Monday"/>
    <b v="0"/>
    <s v="Value"/>
  </r>
  <r>
    <s v="DUKA-0987"/>
    <s v="2026-03-05"/>
    <x v="7"/>
    <s v="Central"/>
    <s v="Smart Watch"/>
    <s v="Wearables"/>
    <x v="1"/>
    <n v="2"/>
    <n v="21000"/>
    <n v="42000"/>
    <s v="March"/>
    <s v="Thursday"/>
    <b v="0"/>
    <s v="Value"/>
  </r>
  <r>
    <s v="DUKA-0988"/>
    <s v="2026-05-14"/>
    <x v="3"/>
    <s v="Western"/>
    <s v="Wi-Fi Router AX"/>
    <s v="Networking"/>
    <x v="0"/>
    <n v="2"/>
    <n v="12000"/>
    <n v="24000"/>
    <s v="May"/>
    <s v="Thursday"/>
    <b v="0"/>
    <s v="Value"/>
  </r>
  <r>
    <s v="DUKA-0989"/>
    <s v="2026-06-22"/>
    <x v="0"/>
    <s v="Coast"/>
    <s v="Tablet 10in"/>
    <s v="Computing"/>
    <x v="0"/>
    <n v="3"/>
    <n v="29100"/>
    <n v="87300"/>
    <s v="June"/>
    <s v="Monday"/>
    <b v="0"/>
    <s v="Premium"/>
  </r>
  <r>
    <s v="DUKA-0990"/>
    <s v="2026-01-26"/>
    <x v="1"/>
    <s v="Capital"/>
    <s v="Power Bank 20K"/>
    <s v="Accessories"/>
    <x v="1"/>
    <n v="2"/>
    <n v="4400"/>
    <n v="8800"/>
    <s v="January"/>
    <s v="Monday"/>
    <b v="0"/>
    <s v="Value"/>
  </r>
  <r>
    <s v="DUKA-0991"/>
    <s v="2026-05-21"/>
    <x v="3"/>
    <s v="Western"/>
    <s v="Budget Smartphone"/>
    <s v="Mobile"/>
    <x v="0"/>
    <n v="1"/>
    <n v="17200"/>
    <n v="17200"/>
    <s v="May"/>
    <s v="Thursday"/>
    <b v="0"/>
    <s v="Value"/>
  </r>
  <r>
    <s v="DUKA-0992"/>
    <s v="2026-04-21"/>
    <x v="0"/>
    <s v="Coast"/>
    <s v="Power Bank 20K"/>
    <s v="Accessories"/>
    <x v="1"/>
    <n v="5"/>
    <n v="4700"/>
    <n v="23500"/>
    <s v="April"/>
    <s v="Tuesday"/>
    <b v="0"/>
    <s v="Value"/>
  </r>
  <r>
    <s v="DUKA-0993"/>
    <s v="2026-03-28"/>
    <x v="1"/>
    <s v="Capital"/>
    <s v="HD Television 32in"/>
    <s v="Television"/>
    <x v="0"/>
    <n v="3"/>
    <n v="29000"/>
    <n v="87000"/>
    <s v="March"/>
    <s v="Saturday"/>
    <b v="1"/>
    <s v="Premium"/>
  </r>
  <r>
    <s v="DUKA-0994"/>
    <s v="2026-05-28"/>
    <x v="4"/>
    <s v="Rift Valley"/>
    <s v="4K Television 43in"/>
    <s v="Television"/>
    <x v="0"/>
    <n v="3"/>
    <n v="55200"/>
    <n v="165600"/>
    <s v="May"/>
    <s v="Thursday"/>
    <b v="0"/>
    <s v="Premium"/>
  </r>
  <r>
    <s v="DUKA-0995"/>
    <s v="2026-04-19"/>
    <x v="6"/>
    <s v="Rift Valley"/>
    <s v="Laptop Pro 14"/>
    <s v="Computing"/>
    <x v="1"/>
    <n v="2"/>
    <n v="120300"/>
    <n v="240600"/>
    <s v="April"/>
    <s v="Sunday"/>
    <b v="1"/>
    <s v="Premium"/>
  </r>
  <r>
    <s v="DUKA-0996"/>
    <s v="2026-02-11"/>
    <x v="2"/>
    <s v="Central"/>
    <s v="Wireless Headphones"/>
    <s v="Audio"/>
    <x v="1"/>
    <n v="1"/>
    <n v="8400"/>
    <n v="8400"/>
    <s v="February"/>
    <s v="Wednesday"/>
    <b v="0"/>
    <s v="Value"/>
  </r>
  <r>
    <s v="DUKA-0997"/>
    <s v="2026-05-03"/>
    <x v="5"/>
    <s v="Capital"/>
    <s v="Wireless Headphones"/>
    <s v="Audio"/>
    <x v="1"/>
    <n v="2"/>
    <n v="8100"/>
    <n v="16200"/>
    <s v="May"/>
    <s v="Sunday"/>
    <b v="1"/>
    <s v="Value"/>
  </r>
  <r>
    <s v="DUKA-0998"/>
    <s v="2026-02-16"/>
    <x v="1"/>
    <s v="Capital"/>
    <s v="Budget Smartphone"/>
    <s v="Mobile"/>
    <x v="0"/>
    <n v="1"/>
    <n v="19400"/>
    <n v="19400"/>
    <s v="February"/>
    <s v="Monday"/>
    <b v="0"/>
    <s v="Value"/>
  </r>
  <r>
    <s v="DUKA-0999"/>
    <s v="2026-03-08"/>
    <x v="5"/>
    <s v="Capital"/>
    <s v="Wireless Headphones"/>
    <s v="Audio"/>
    <x v="1"/>
    <n v="1"/>
    <n v="8600"/>
    <n v="8600"/>
    <s v="March"/>
    <s v="Sunday"/>
    <b v="1"/>
    <s v="Value"/>
  </r>
  <r>
    <s v="DUKA-1000"/>
    <s v="2026-03-23"/>
    <x v="5"/>
    <s v="Capital"/>
    <s v="Budget Smartphone"/>
    <s v="Mobile"/>
    <x v="1"/>
    <n v="1"/>
    <n v="19600"/>
    <n v="19600"/>
    <s v="March"/>
    <s v="Monday"/>
    <b v="0"/>
    <s v="Val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EC156-080B-46A7-8002-D4B3C6176DE5}" name="RevenueByBranchChannel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4:D14" firstHeaderRow="1" firstDataRow="2" firstDataCol="1"/>
  <pivotFields count="14">
    <pivotField compact="0" outline="0" showAll="0"/>
    <pivotField compact="0" outline="0" showAll="0"/>
    <pivotField axis="axisRow" compact="0" outline="0" showAll="0">
      <items count="9">
        <item x="6"/>
        <item x="3"/>
        <item x="0"/>
        <item x="1"/>
        <item x="4"/>
        <item x="7"/>
        <item x="2"/>
        <item x="5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Revenue (KES)" fld="9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ukaOrders" displayName="DukaOrders" ref="A1:N1001">
  <autoFilter ref="A1:N1001" xr:uid="{00000000-0009-0000-0100-000001000000}"/>
  <tableColumns count="14">
    <tableColumn id="1" xr3:uid="{00000000-0010-0000-0000-000001000000}" name="order_id"/>
    <tableColumn id="2" xr3:uid="{00000000-0010-0000-0000-000002000000}" name="order_date"/>
    <tableColumn id="3" xr3:uid="{00000000-0010-0000-0000-000003000000}" name="branch"/>
    <tableColumn id="4" xr3:uid="{00000000-0010-0000-0000-000004000000}" name="region"/>
    <tableColumn id="5" xr3:uid="{00000000-0010-0000-0000-000005000000}" name="product"/>
    <tableColumn id="6" xr3:uid="{00000000-0010-0000-0000-000006000000}" name="category"/>
    <tableColumn id="7" xr3:uid="{00000000-0010-0000-0000-000007000000}" name="channel"/>
    <tableColumn id="8" xr3:uid="{00000000-0010-0000-0000-000008000000}" name="units_sold"/>
    <tableColumn id="9" xr3:uid="{00000000-0010-0000-0000-000009000000}" name="unit_price"/>
    <tableColumn id="10" xr3:uid="{00000000-0010-0000-0000-00000A000000}" name="revenue"/>
    <tableColumn id="11" xr3:uid="{00000000-0010-0000-0000-00000B000000}" name="month"/>
    <tableColumn id="12" xr3:uid="{00000000-0010-0000-0000-00000C000000}" name="weekday"/>
    <tableColumn id="13" xr3:uid="{00000000-0010-0000-0000-00000D000000}" name="is_weekend"/>
    <tableColumn id="14" xr3:uid="{00000000-0010-0000-0000-00000E000000}" name="price_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>
        <v>23100</v>
      </c>
      <c r="J2">
        <v>23100</v>
      </c>
      <c r="K2" t="s">
        <v>21</v>
      </c>
      <c r="L2" t="s">
        <v>22</v>
      </c>
      <c r="M2" t="b">
        <v>0</v>
      </c>
      <c r="N2" t="s">
        <v>23</v>
      </c>
    </row>
    <row r="3" spans="1:14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4</v>
      </c>
      <c r="I3">
        <v>118900</v>
      </c>
      <c r="J3">
        <v>475600</v>
      </c>
      <c r="K3" t="s">
        <v>31</v>
      </c>
      <c r="L3" t="s">
        <v>32</v>
      </c>
      <c r="M3" t="b">
        <v>1</v>
      </c>
      <c r="N3" t="s">
        <v>33</v>
      </c>
    </row>
    <row r="4" spans="1:14" x14ac:dyDescent="0.35">
      <c r="A4" t="s">
        <v>34</v>
      </c>
      <c r="B4" t="s">
        <v>35</v>
      </c>
      <c r="C4" t="s">
        <v>26</v>
      </c>
      <c r="D4" t="s">
        <v>27</v>
      </c>
      <c r="E4" t="s">
        <v>36</v>
      </c>
      <c r="F4" t="s">
        <v>37</v>
      </c>
      <c r="G4" t="s">
        <v>30</v>
      </c>
      <c r="H4">
        <v>2</v>
      </c>
      <c r="I4">
        <v>39700</v>
      </c>
      <c r="J4">
        <v>79400</v>
      </c>
      <c r="K4" t="s">
        <v>38</v>
      </c>
      <c r="L4" t="s">
        <v>39</v>
      </c>
      <c r="M4" t="b">
        <v>0</v>
      </c>
      <c r="N4" t="s">
        <v>33</v>
      </c>
    </row>
    <row r="5" spans="1:14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30</v>
      </c>
      <c r="H5">
        <v>3</v>
      </c>
      <c r="I5">
        <v>26600</v>
      </c>
      <c r="J5">
        <v>79800</v>
      </c>
      <c r="K5" t="s">
        <v>46</v>
      </c>
      <c r="L5" t="s">
        <v>47</v>
      </c>
      <c r="M5" t="b">
        <v>0</v>
      </c>
      <c r="N5" t="s">
        <v>23</v>
      </c>
    </row>
    <row r="6" spans="1:14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30</v>
      </c>
      <c r="H6">
        <v>1</v>
      </c>
      <c r="I6">
        <v>8400</v>
      </c>
      <c r="J6">
        <v>8400</v>
      </c>
      <c r="K6" t="s">
        <v>54</v>
      </c>
      <c r="L6" t="s">
        <v>55</v>
      </c>
      <c r="M6" t="b">
        <v>0</v>
      </c>
      <c r="N6" t="s">
        <v>23</v>
      </c>
    </row>
    <row r="7" spans="1:14" x14ac:dyDescent="0.35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53</v>
      </c>
      <c r="G7" t="s">
        <v>20</v>
      </c>
      <c r="H7">
        <v>1</v>
      </c>
      <c r="I7">
        <v>7000</v>
      </c>
      <c r="J7">
        <v>7000</v>
      </c>
      <c r="K7" t="s">
        <v>31</v>
      </c>
      <c r="L7" t="s">
        <v>55</v>
      </c>
      <c r="M7" t="b">
        <v>0</v>
      </c>
      <c r="N7" t="s">
        <v>23</v>
      </c>
    </row>
    <row r="8" spans="1:14" x14ac:dyDescent="0.35">
      <c r="A8" t="s">
        <v>61</v>
      </c>
      <c r="B8" t="s">
        <v>62</v>
      </c>
      <c r="C8" t="s">
        <v>26</v>
      </c>
      <c r="D8" t="s">
        <v>27</v>
      </c>
      <c r="E8" t="s">
        <v>36</v>
      </c>
      <c r="F8" t="s">
        <v>37</v>
      </c>
      <c r="G8" t="s">
        <v>30</v>
      </c>
      <c r="H8">
        <v>1</v>
      </c>
      <c r="I8">
        <v>44300</v>
      </c>
      <c r="J8">
        <v>44300</v>
      </c>
      <c r="K8" t="s">
        <v>31</v>
      </c>
      <c r="L8" t="s">
        <v>32</v>
      </c>
      <c r="M8" t="b">
        <v>1</v>
      </c>
      <c r="N8" t="s">
        <v>33</v>
      </c>
    </row>
    <row r="9" spans="1:14" x14ac:dyDescent="0.35">
      <c r="A9" t="s">
        <v>63</v>
      </c>
      <c r="B9" t="s">
        <v>64</v>
      </c>
      <c r="C9" t="s">
        <v>65</v>
      </c>
      <c r="D9" t="s">
        <v>27</v>
      </c>
      <c r="E9" t="s">
        <v>52</v>
      </c>
      <c r="F9" t="s">
        <v>53</v>
      </c>
      <c r="G9" t="s">
        <v>30</v>
      </c>
      <c r="H9">
        <v>1</v>
      </c>
      <c r="I9">
        <v>8100</v>
      </c>
      <c r="J9">
        <v>8100</v>
      </c>
      <c r="K9" t="s">
        <v>46</v>
      </c>
      <c r="L9" t="s">
        <v>47</v>
      </c>
      <c r="M9" t="b">
        <v>0</v>
      </c>
      <c r="N9" t="s">
        <v>23</v>
      </c>
    </row>
    <row r="10" spans="1:14" x14ac:dyDescent="0.35">
      <c r="A10" t="s">
        <v>66</v>
      </c>
      <c r="B10" t="s">
        <v>64</v>
      </c>
      <c r="C10" t="s">
        <v>67</v>
      </c>
      <c r="D10" t="s">
        <v>59</v>
      </c>
      <c r="E10" t="s">
        <v>44</v>
      </c>
      <c r="F10" t="s">
        <v>45</v>
      </c>
      <c r="G10" t="s">
        <v>30</v>
      </c>
      <c r="H10">
        <v>2</v>
      </c>
      <c r="I10">
        <v>29700</v>
      </c>
      <c r="J10">
        <v>59400</v>
      </c>
      <c r="K10" t="s">
        <v>46</v>
      </c>
      <c r="L10" t="s">
        <v>47</v>
      </c>
      <c r="M10" t="b">
        <v>0</v>
      </c>
      <c r="N10" t="s">
        <v>33</v>
      </c>
    </row>
    <row r="11" spans="1:14" x14ac:dyDescent="0.35">
      <c r="A11" t="s">
        <v>68</v>
      </c>
      <c r="B11" t="s">
        <v>69</v>
      </c>
      <c r="C11" t="s">
        <v>67</v>
      </c>
      <c r="D11" t="s">
        <v>59</v>
      </c>
      <c r="E11" t="s">
        <v>52</v>
      </c>
      <c r="F11" t="s">
        <v>53</v>
      </c>
      <c r="G11" t="s">
        <v>20</v>
      </c>
      <c r="H11">
        <v>3</v>
      </c>
      <c r="I11">
        <v>7900</v>
      </c>
      <c r="J11">
        <v>23700</v>
      </c>
      <c r="K11" t="s">
        <v>70</v>
      </c>
      <c r="L11" t="s">
        <v>32</v>
      </c>
      <c r="M11" t="b">
        <v>1</v>
      </c>
      <c r="N11" t="s">
        <v>23</v>
      </c>
    </row>
    <row r="12" spans="1:14" x14ac:dyDescent="0.35">
      <c r="A12" t="s">
        <v>71</v>
      </c>
      <c r="B12" t="s">
        <v>72</v>
      </c>
      <c r="C12" t="s">
        <v>73</v>
      </c>
      <c r="D12" t="s">
        <v>43</v>
      </c>
      <c r="E12" t="s">
        <v>74</v>
      </c>
      <c r="F12" t="s">
        <v>75</v>
      </c>
      <c r="G12" t="s">
        <v>30</v>
      </c>
      <c r="H12">
        <v>2</v>
      </c>
      <c r="I12">
        <v>4700</v>
      </c>
      <c r="J12">
        <v>9400</v>
      </c>
      <c r="K12" t="s">
        <v>38</v>
      </c>
      <c r="L12" t="s">
        <v>22</v>
      </c>
      <c r="M12" t="b">
        <v>0</v>
      </c>
      <c r="N12" t="s">
        <v>23</v>
      </c>
    </row>
    <row r="13" spans="1:14" x14ac:dyDescent="0.35">
      <c r="A13" t="s">
        <v>76</v>
      </c>
      <c r="B13" t="s">
        <v>77</v>
      </c>
      <c r="C13" t="s">
        <v>65</v>
      </c>
      <c r="D13" t="s">
        <v>27</v>
      </c>
      <c r="E13" t="s">
        <v>74</v>
      </c>
      <c r="F13" t="s">
        <v>75</v>
      </c>
      <c r="G13" t="s">
        <v>20</v>
      </c>
      <c r="H13">
        <v>1</v>
      </c>
      <c r="I13">
        <v>4300</v>
      </c>
      <c r="J13">
        <v>4300</v>
      </c>
      <c r="K13" t="s">
        <v>46</v>
      </c>
      <c r="L13" t="s">
        <v>32</v>
      </c>
      <c r="M13" t="b">
        <v>1</v>
      </c>
      <c r="N13" t="s">
        <v>23</v>
      </c>
    </row>
    <row r="14" spans="1:14" x14ac:dyDescent="0.35">
      <c r="A14" t="s">
        <v>78</v>
      </c>
      <c r="B14" t="s">
        <v>79</v>
      </c>
      <c r="C14" t="s">
        <v>67</v>
      </c>
      <c r="D14" t="s">
        <v>59</v>
      </c>
      <c r="E14" t="s">
        <v>80</v>
      </c>
      <c r="F14" t="s">
        <v>81</v>
      </c>
      <c r="G14" t="s">
        <v>20</v>
      </c>
      <c r="H14">
        <v>1</v>
      </c>
      <c r="I14">
        <v>12100</v>
      </c>
      <c r="J14">
        <v>12100</v>
      </c>
      <c r="K14" t="s">
        <v>21</v>
      </c>
      <c r="L14" t="s">
        <v>39</v>
      </c>
      <c r="M14" t="b">
        <v>0</v>
      </c>
      <c r="N14" t="s">
        <v>23</v>
      </c>
    </row>
    <row r="15" spans="1:14" x14ac:dyDescent="0.35">
      <c r="A15" t="s">
        <v>82</v>
      </c>
      <c r="B15" t="s">
        <v>83</v>
      </c>
      <c r="C15" t="s">
        <v>42</v>
      </c>
      <c r="D15" t="s">
        <v>43</v>
      </c>
      <c r="E15" t="s">
        <v>18</v>
      </c>
      <c r="F15" t="s">
        <v>19</v>
      </c>
      <c r="G15" t="s">
        <v>30</v>
      </c>
      <c r="H15">
        <v>3</v>
      </c>
      <c r="I15">
        <v>22200</v>
      </c>
      <c r="J15">
        <v>66600</v>
      </c>
      <c r="K15" t="s">
        <v>21</v>
      </c>
      <c r="L15" t="s">
        <v>47</v>
      </c>
      <c r="M15" t="b">
        <v>0</v>
      </c>
      <c r="N15" t="s">
        <v>23</v>
      </c>
    </row>
    <row r="16" spans="1:14" x14ac:dyDescent="0.35">
      <c r="A16" t="s">
        <v>84</v>
      </c>
      <c r="B16" t="s">
        <v>85</v>
      </c>
      <c r="C16" t="s">
        <v>58</v>
      </c>
      <c r="D16" t="s">
        <v>59</v>
      </c>
      <c r="E16" t="s">
        <v>80</v>
      </c>
      <c r="F16" t="s">
        <v>81</v>
      </c>
      <c r="G16" t="s">
        <v>30</v>
      </c>
      <c r="H16">
        <v>3</v>
      </c>
      <c r="I16">
        <v>12800</v>
      </c>
      <c r="J16">
        <v>38400</v>
      </c>
      <c r="K16" t="s">
        <v>70</v>
      </c>
      <c r="L16" t="s">
        <v>32</v>
      </c>
      <c r="M16" t="b">
        <v>1</v>
      </c>
      <c r="N16" t="s">
        <v>23</v>
      </c>
    </row>
    <row r="17" spans="1:14" x14ac:dyDescent="0.35">
      <c r="A17" t="s">
        <v>86</v>
      </c>
      <c r="B17" t="s">
        <v>87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>
        <v>1</v>
      </c>
      <c r="I17">
        <v>116600</v>
      </c>
      <c r="J17">
        <v>116600</v>
      </c>
      <c r="K17" t="s">
        <v>70</v>
      </c>
      <c r="L17" t="s">
        <v>88</v>
      </c>
      <c r="M17" t="b">
        <v>0</v>
      </c>
      <c r="N17" t="s">
        <v>33</v>
      </c>
    </row>
    <row r="18" spans="1:14" x14ac:dyDescent="0.35">
      <c r="A18" t="s">
        <v>89</v>
      </c>
      <c r="B18" t="s">
        <v>49</v>
      </c>
      <c r="C18" t="s">
        <v>58</v>
      </c>
      <c r="D18" t="s">
        <v>59</v>
      </c>
      <c r="E18" t="s">
        <v>18</v>
      </c>
      <c r="F18" t="s">
        <v>19</v>
      </c>
      <c r="G18" t="s">
        <v>30</v>
      </c>
      <c r="H18">
        <v>1</v>
      </c>
      <c r="I18">
        <v>22600</v>
      </c>
      <c r="J18">
        <v>22600</v>
      </c>
      <c r="K18" t="s">
        <v>54</v>
      </c>
      <c r="L18" t="s">
        <v>55</v>
      </c>
      <c r="M18" t="b">
        <v>0</v>
      </c>
      <c r="N18" t="s">
        <v>23</v>
      </c>
    </row>
    <row r="19" spans="1:14" x14ac:dyDescent="0.35">
      <c r="A19" t="s">
        <v>90</v>
      </c>
      <c r="B19" t="s">
        <v>91</v>
      </c>
      <c r="C19" t="s">
        <v>67</v>
      </c>
      <c r="D19" t="s">
        <v>59</v>
      </c>
      <c r="E19" t="s">
        <v>44</v>
      </c>
      <c r="F19" t="s">
        <v>45</v>
      </c>
      <c r="G19" t="s">
        <v>20</v>
      </c>
      <c r="H19">
        <v>2</v>
      </c>
      <c r="I19">
        <v>29000</v>
      </c>
      <c r="J19">
        <v>58000</v>
      </c>
      <c r="K19" t="s">
        <v>21</v>
      </c>
      <c r="L19" t="s">
        <v>55</v>
      </c>
      <c r="M19" t="b">
        <v>0</v>
      </c>
      <c r="N19" t="s">
        <v>33</v>
      </c>
    </row>
    <row r="20" spans="1:14" x14ac:dyDescent="0.35">
      <c r="A20" t="s">
        <v>92</v>
      </c>
      <c r="B20" t="s">
        <v>93</v>
      </c>
      <c r="C20" t="s">
        <v>26</v>
      </c>
      <c r="D20" t="s">
        <v>27</v>
      </c>
      <c r="E20" t="s">
        <v>94</v>
      </c>
      <c r="F20" t="s">
        <v>37</v>
      </c>
      <c r="G20" t="s">
        <v>20</v>
      </c>
      <c r="H20">
        <v>1</v>
      </c>
      <c r="I20">
        <v>19400</v>
      </c>
      <c r="J20">
        <v>19400</v>
      </c>
      <c r="K20" t="s">
        <v>21</v>
      </c>
      <c r="L20" t="s">
        <v>32</v>
      </c>
      <c r="M20" t="b">
        <v>1</v>
      </c>
      <c r="N20" t="s">
        <v>23</v>
      </c>
    </row>
    <row r="21" spans="1:14" x14ac:dyDescent="0.35">
      <c r="A21" t="s">
        <v>95</v>
      </c>
      <c r="B21" t="s">
        <v>96</v>
      </c>
      <c r="C21" t="s">
        <v>67</v>
      </c>
      <c r="D21" t="s">
        <v>59</v>
      </c>
      <c r="E21" t="s">
        <v>97</v>
      </c>
      <c r="F21" t="s">
        <v>29</v>
      </c>
      <c r="G21" t="s">
        <v>30</v>
      </c>
      <c r="H21">
        <v>2</v>
      </c>
      <c r="I21">
        <v>29800</v>
      </c>
      <c r="J21">
        <v>59600</v>
      </c>
      <c r="K21" t="s">
        <v>38</v>
      </c>
      <c r="L21" t="s">
        <v>88</v>
      </c>
      <c r="M21" t="b">
        <v>0</v>
      </c>
      <c r="N21" t="s">
        <v>33</v>
      </c>
    </row>
    <row r="22" spans="1:14" x14ac:dyDescent="0.35">
      <c r="A22" t="s">
        <v>98</v>
      </c>
      <c r="B22" t="s">
        <v>99</v>
      </c>
      <c r="C22" t="s">
        <v>42</v>
      </c>
      <c r="D22" t="s">
        <v>43</v>
      </c>
      <c r="E22" t="s">
        <v>94</v>
      </c>
      <c r="F22" t="s">
        <v>37</v>
      </c>
      <c r="G22" t="s">
        <v>30</v>
      </c>
      <c r="H22">
        <v>2</v>
      </c>
      <c r="I22">
        <v>17100</v>
      </c>
      <c r="J22">
        <v>34200</v>
      </c>
      <c r="K22" t="s">
        <v>46</v>
      </c>
      <c r="L22" t="s">
        <v>88</v>
      </c>
      <c r="M22" t="b">
        <v>0</v>
      </c>
      <c r="N22" t="s">
        <v>23</v>
      </c>
    </row>
    <row r="23" spans="1:14" x14ac:dyDescent="0.35">
      <c r="A23" t="s">
        <v>100</v>
      </c>
      <c r="B23" t="s">
        <v>101</v>
      </c>
      <c r="C23" t="s">
        <v>42</v>
      </c>
      <c r="D23" t="s">
        <v>43</v>
      </c>
      <c r="E23" t="s">
        <v>102</v>
      </c>
      <c r="F23" t="s">
        <v>29</v>
      </c>
      <c r="G23" t="s">
        <v>30</v>
      </c>
      <c r="H23">
        <v>1</v>
      </c>
      <c r="I23">
        <v>28800</v>
      </c>
      <c r="J23">
        <v>28800</v>
      </c>
      <c r="K23" t="s">
        <v>21</v>
      </c>
      <c r="L23" t="s">
        <v>88</v>
      </c>
      <c r="M23" t="b">
        <v>0</v>
      </c>
      <c r="N23" t="s">
        <v>33</v>
      </c>
    </row>
    <row r="24" spans="1:14" x14ac:dyDescent="0.35">
      <c r="A24" t="s">
        <v>103</v>
      </c>
      <c r="B24" t="s">
        <v>104</v>
      </c>
      <c r="C24" t="s">
        <v>67</v>
      </c>
      <c r="D24" t="s">
        <v>59</v>
      </c>
      <c r="E24" t="s">
        <v>80</v>
      </c>
      <c r="F24" t="s">
        <v>81</v>
      </c>
      <c r="G24" t="s">
        <v>30</v>
      </c>
      <c r="H24">
        <v>4</v>
      </c>
      <c r="I24">
        <v>11100</v>
      </c>
      <c r="J24">
        <v>44400</v>
      </c>
      <c r="K24" t="s">
        <v>46</v>
      </c>
      <c r="L24" t="s">
        <v>39</v>
      </c>
      <c r="M24" t="b">
        <v>0</v>
      </c>
      <c r="N24" t="s">
        <v>23</v>
      </c>
    </row>
    <row r="25" spans="1:14" x14ac:dyDescent="0.35">
      <c r="A25" t="s">
        <v>105</v>
      </c>
      <c r="B25" t="s">
        <v>106</v>
      </c>
      <c r="C25" t="s">
        <v>65</v>
      </c>
      <c r="D25" t="s">
        <v>27</v>
      </c>
      <c r="E25" t="s">
        <v>102</v>
      </c>
      <c r="F25" t="s">
        <v>29</v>
      </c>
      <c r="G25" t="s">
        <v>30</v>
      </c>
      <c r="H25">
        <v>1</v>
      </c>
      <c r="I25">
        <v>29200</v>
      </c>
      <c r="J25">
        <v>29200</v>
      </c>
      <c r="K25" t="s">
        <v>21</v>
      </c>
      <c r="L25" t="s">
        <v>22</v>
      </c>
      <c r="M25" t="b">
        <v>0</v>
      </c>
      <c r="N25" t="s">
        <v>33</v>
      </c>
    </row>
    <row r="26" spans="1:14" x14ac:dyDescent="0.35">
      <c r="A26" t="s">
        <v>107</v>
      </c>
      <c r="B26" t="s">
        <v>108</v>
      </c>
      <c r="C26" t="s">
        <v>67</v>
      </c>
      <c r="D26" t="s">
        <v>59</v>
      </c>
      <c r="E26" t="s">
        <v>97</v>
      </c>
      <c r="F26" t="s">
        <v>29</v>
      </c>
      <c r="G26" t="s">
        <v>30</v>
      </c>
      <c r="H26">
        <v>1</v>
      </c>
      <c r="I26">
        <v>29700</v>
      </c>
      <c r="J26">
        <v>29700</v>
      </c>
      <c r="K26" t="s">
        <v>70</v>
      </c>
      <c r="L26" t="s">
        <v>109</v>
      </c>
      <c r="M26" t="b">
        <v>1</v>
      </c>
      <c r="N26" t="s">
        <v>33</v>
      </c>
    </row>
    <row r="27" spans="1:14" x14ac:dyDescent="0.35">
      <c r="A27" t="s">
        <v>110</v>
      </c>
      <c r="B27" t="s">
        <v>111</v>
      </c>
      <c r="C27" t="s">
        <v>58</v>
      </c>
      <c r="D27" t="s">
        <v>59</v>
      </c>
      <c r="E27" t="s">
        <v>44</v>
      </c>
      <c r="F27" t="s">
        <v>45</v>
      </c>
      <c r="G27" t="s">
        <v>20</v>
      </c>
      <c r="H27">
        <v>4</v>
      </c>
      <c r="I27">
        <v>26000</v>
      </c>
      <c r="J27">
        <v>104000</v>
      </c>
      <c r="K27" t="s">
        <v>31</v>
      </c>
      <c r="L27" t="s">
        <v>22</v>
      </c>
      <c r="M27" t="b">
        <v>0</v>
      </c>
      <c r="N27" t="s">
        <v>23</v>
      </c>
    </row>
    <row r="28" spans="1:14" x14ac:dyDescent="0.35">
      <c r="A28" t="s">
        <v>112</v>
      </c>
      <c r="B28" t="s">
        <v>113</v>
      </c>
      <c r="C28" t="s">
        <v>42</v>
      </c>
      <c r="D28" t="s">
        <v>43</v>
      </c>
      <c r="E28" t="s">
        <v>44</v>
      </c>
      <c r="F28" t="s">
        <v>45</v>
      </c>
      <c r="G28" t="s">
        <v>30</v>
      </c>
      <c r="H28">
        <v>1</v>
      </c>
      <c r="I28">
        <v>26900</v>
      </c>
      <c r="J28">
        <v>26900</v>
      </c>
      <c r="K28" t="s">
        <v>46</v>
      </c>
      <c r="L28" t="s">
        <v>88</v>
      </c>
      <c r="M28" t="b">
        <v>0</v>
      </c>
      <c r="N28" t="s">
        <v>23</v>
      </c>
    </row>
    <row r="29" spans="1:14" x14ac:dyDescent="0.35">
      <c r="A29" t="s">
        <v>114</v>
      </c>
      <c r="B29" t="s">
        <v>115</v>
      </c>
      <c r="C29" t="s">
        <v>50</v>
      </c>
      <c r="D29" t="s">
        <v>51</v>
      </c>
      <c r="E29" t="s">
        <v>74</v>
      </c>
      <c r="F29" t="s">
        <v>75</v>
      </c>
      <c r="G29" t="s">
        <v>20</v>
      </c>
      <c r="H29">
        <v>1</v>
      </c>
      <c r="I29">
        <v>4400</v>
      </c>
      <c r="J29">
        <v>4400</v>
      </c>
      <c r="K29" t="s">
        <v>46</v>
      </c>
      <c r="L29" t="s">
        <v>32</v>
      </c>
      <c r="M29" t="b">
        <v>1</v>
      </c>
      <c r="N29" t="s">
        <v>23</v>
      </c>
    </row>
    <row r="30" spans="1:14" x14ac:dyDescent="0.35">
      <c r="A30" t="s">
        <v>116</v>
      </c>
      <c r="B30" t="s">
        <v>117</v>
      </c>
      <c r="C30" t="s">
        <v>67</v>
      </c>
      <c r="D30" t="s">
        <v>59</v>
      </c>
      <c r="E30" t="s">
        <v>94</v>
      </c>
      <c r="F30" t="s">
        <v>37</v>
      </c>
      <c r="G30" t="s">
        <v>30</v>
      </c>
      <c r="H30">
        <v>2</v>
      </c>
      <c r="I30">
        <v>19400</v>
      </c>
      <c r="J30">
        <v>38800</v>
      </c>
      <c r="K30" t="s">
        <v>38</v>
      </c>
      <c r="L30" t="s">
        <v>55</v>
      </c>
      <c r="M30" t="b">
        <v>0</v>
      </c>
      <c r="N30" t="s">
        <v>23</v>
      </c>
    </row>
    <row r="31" spans="1:14" x14ac:dyDescent="0.35">
      <c r="A31" t="s">
        <v>118</v>
      </c>
      <c r="B31" t="s">
        <v>119</v>
      </c>
      <c r="C31" t="s">
        <v>26</v>
      </c>
      <c r="D31" t="s">
        <v>27</v>
      </c>
      <c r="E31" t="s">
        <v>120</v>
      </c>
      <c r="F31" t="s">
        <v>45</v>
      </c>
      <c r="G31" t="s">
        <v>20</v>
      </c>
      <c r="H31">
        <v>2</v>
      </c>
      <c r="I31">
        <v>52600</v>
      </c>
      <c r="J31">
        <v>105200</v>
      </c>
      <c r="K31" t="s">
        <v>54</v>
      </c>
      <c r="L31" t="s">
        <v>55</v>
      </c>
      <c r="M31" t="b">
        <v>0</v>
      </c>
      <c r="N31" t="s">
        <v>33</v>
      </c>
    </row>
    <row r="32" spans="1:14" x14ac:dyDescent="0.35">
      <c r="A32" t="s">
        <v>121</v>
      </c>
      <c r="B32" t="s">
        <v>35</v>
      </c>
      <c r="C32" t="s">
        <v>67</v>
      </c>
      <c r="D32" t="s">
        <v>59</v>
      </c>
      <c r="E32" t="s">
        <v>44</v>
      </c>
      <c r="F32" t="s">
        <v>45</v>
      </c>
      <c r="G32" t="s">
        <v>30</v>
      </c>
      <c r="H32">
        <v>2</v>
      </c>
      <c r="I32">
        <v>28100</v>
      </c>
      <c r="J32">
        <v>56200</v>
      </c>
      <c r="K32" t="s">
        <v>38</v>
      </c>
      <c r="L32" t="s">
        <v>39</v>
      </c>
      <c r="M32" t="b">
        <v>0</v>
      </c>
      <c r="N32" t="s">
        <v>33</v>
      </c>
    </row>
    <row r="33" spans="1:14" x14ac:dyDescent="0.35">
      <c r="A33" t="s">
        <v>122</v>
      </c>
      <c r="B33" t="s">
        <v>123</v>
      </c>
      <c r="C33" t="s">
        <v>16</v>
      </c>
      <c r="D33" t="s">
        <v>17</v>
      </c>
      <c r="E33" t="s">
        <v>74</v>
      </c>
      <c r="F33" t="s">
        <v>75</v>
      </c>
      <c r="G33" t="s">
        <v>20</v>
      </c>
      <c r="H33">
        <v>3</v>
      </c>
      <c r="I33">
        <v>4300</v>
      </c>
      <c r="J33">
        <v>12900</v>
      </c>
      <c r="K33" t="s">
        <v>31</v>
      </c>
      <c r="L33" t="s">
        <v>32</v>
      </c>
      <c r="M33" t="b">
        <v>1</v>
      </c>
      <c r="N33" t="s">
        <v>23</v>
      </c>
    </row>
    <row r="34" spans="1:14" x14ac:dyDescent="0.35">
      <c r="A34" t="s">
        <v>124</v>
      </c>
      <c r="B34" t="s">
        <v>117</v>
      </c>
      <c r="C34" t="s">
        <v>73</v>
      </c>
      <c r="D34" t="s">
        <v>43</v>
      </c>
      <c r="E34" t="s">
        <v>44</v>
      </c>
      <c r="F34" t="s">
        <v>45</v>
      </c>
      <c r="G34" t="s">
        <v>20</v>
      </c>
      <c r="H34">
        <v>1</v>
      </c>
      <c r="I34">
        <v>27500</v>
      </c>
      <c r="J34">
        <v>27500</v>
      </c>
      <c r="K34" t="s">
        <v>38</v>
      </c>
      <c r="L34" t="s">
        <v>55</v>
      </c>
      <c r="M34" t="b">
        <v>0</v>
      </c>
      <c r="N34" t="s">
        <v>23</v>
      </c>
    </row>
    <row r="35" spans="1:14" x14ac:dyDescent="0.35">
      <c r="A35" t="s">
        <v>125</v>
      </c>
      <c r="B35" t="s">
        <v>106</v>
      </c>
      <c r="C35" t="s">
        <v>67</v>
      </c>
      <c r="D35" t="s">
        <v>59</v>
      </c>
      <c r="E35" t="s">
        <v>60</v>
      </c>
      <c r="F35" t="s">
        <v>53</v>
      </c>
      <c r="G35" t="s">
        <v>30</v>
      </c>
      <c r="H35">
        <v>1</v>
      </c>
      <c r="I35">
        <v>6400</v>
      </c>
      <c r="J35">
        <v>6400</v>
      </c>
      <c r="K35" t="s">
        <v>21</v>
      </c>
      <c r="L35" t="s">
        <v>22</v>
      </c>
      <c r="M35" t="b">
        <v>0</v>
      </c>
      <c r="N35" t="s">
        <v>23</v>
      </c>
    </row>
    <row r="36" spans="1:14" x14ac:dyDescent="0.35">
      <c r="A36" t="s">
        <v>126</v>
      </c>
      <c r="B36" t="s">
        <v>127</v>
      </c>
      <c r="C36" t="s">
        <v>73</v>
      </c>
      <c r="D36" t="s">
        <v>43</v>
      </c>
      <c r="E36" t="s">
        <v>60</v>
      </c>
      <c r="F36" t="s">
        <v>53</v>
      </c>
      <c r="G36" t="s">
        <v>30</v>
      </c>
      <c r="H36">
        <v>3</v>
      </c>
      <c r="I36">
        <v>7000</v>
      </c>
      <c r="J36">
        <v>21000</v>
      </c>
      <c r="K36" t="s">
        <v>46</v>
      </c>
      <c r="L36" t="s">
        <v>109</v>
      </c>
      <c r="M36" t="b">
        <v>1</v>
      </c>
      <c r="N36" t="s">
        <v>23</v>
      </c>
    </row>
    <row r="37" spans="1:14" x14ac:dyDescent="0.35">
      <c r="A37" t="s">
        <v>128</v>
      </c>
      <c r="B37" t="s">
        <v>129</v>
      </c>
      <c r="C37" t="s">
        <v>67</v>
      </c>
      <c r="D37" t="s">
        <v>59</v>
      </c>
      <c r="E37" t="s">
        <v>52</v>
      </c>
      <c r="F37" t="s">
        <v>53</v>
      </c>
      <c r="G37" t="s">
        <v>30</v>
      </c>
      <c r="H37">
        <v>1</v>
      </c>
      <c r="I37">
        <v>8100</v>
      </c>
      <c r="J37">
        <v>8100</v>
      </c>
      <c r="K37" t="s">
        <v>54</v>
      </c>
      <c r="L37" t="s">
        <v>109</v>
      </c>
      <c r="M37" t="b">
        <v>1</v>
      </c>
      <c r="N37" t="s">
        <v>23</v>
      </c>
    </row>
    <row r="38" spans="1:14" x14ac:dyDescent="0.35">
      <c r="A38" t="s">
        <v>130</v>
      </c>
      <c r="B38" t="s">
        <v>131</v>
      </c>
      <c r="C38" t="s">
        <v>58</v>
      </c>
      <c r="D38" t="s">
        <v>59</v>
      </c>
      <c r="E38" t="s">
        <v>94</v>
      </c>
      <c r="F38" t="s">
        <v>37</v>
      </c>
      <c r="G38" t="s">
        <v>20</v>
      </c>
      <c r="H38">
        <v>1</v>
      </c>
      <c r="I38">
        <v>18500</v>
      </c>
      <c r="J38">
        <v>18500</v>
      </c>
      <c r="K38" t="s">
        <v>31</v>
      </c>
      <c r="L38" t="s">
        <v>32</v>
      </c>
      <c r="M38" t="b">
        <v>1</v>
      </c>
      <c r="N38" t="s">
        <v>23</v>
      </c>
    </row>
    <row r="39" spans="1:14" x14ac:dyDescent="0.35">
      <c r="A39" t="s">
        <v>132</v>
      </c>
      <c r="B39" t="s">
        <v>119</v>
      </c>
      <c r="C39" t="s">
        <v>73</v>
      </c>
      <c r="D39" t="s">
        <v>43</v>
      </c>
      <c r="E39" t="s">
        <v>97</v>
      </c>
      <c r="F39" t="s">
        <v>29</v>
      </c>
      <c r="G39" t="s">
        <v>20</v>
      </c>
      <c r="H39">
        <v>1</v>
      </c>
      <c r="I39">
        <v>33800</v>
      </c>
      <c r="J39">
        <v>33800</v>
      </c>
      <c r="K39" t="s">
        <v>54</v>
      </c>
      <c r="L39" t="s">
        <v>55</v>
      </c>
      <c r="M39" t="b">
        <v>0</v>
      </c>
      <c r="N39" t="s">
        <v>33</v>
      </c>
    </row>
    <row r="40" spans="1:14" x14ac:dyDescent="0.35">
      <c r="A40" t="s">
        <v>133</v>
      </c>
      <c r="B40" t="s">
        <v>134</v>
      </c>
      <c r="C40" t="s">
        <v>58</v>
      </c>
      <c r="D40" t="s">
        <v>59</v>
      </c>
      <c r="E40" t="s">
        <v>94</v>
      </c>
      <c r="F40" t="s">
        <v>37</v>
      </c>
      <c r="G40" t="s">
        <v>30</v>
      </c>
      <c r="H40">
        <v>2</v>
      </c>
      <c r="I40">
        <v>19400</v>
      </c>
      <c r="J40">
        <v>38800</v>
      </c>
      <c r="K40" t="s">
        <v>54</v>
      </c>
      <c r="L40" t="s">
        <v>109</v>
      </c>
      <c r="M40" t="b">
        <v>1</v>
      </c>
      <c r="N40" t="s">
        <v>23</v>
      </c>
    </row>
    <row r="41" spans="1:14" x14ac:dyDescent="0.35">
      <c r="A41" t="s">
        <v>135</v>
      </c>
      <c r="B41" t="s">
        <v>136</v>
      </c>
      <c r="C41" t="s">
        <v>73</v>
      </c>
      <c r="D41" t="s">
        <v>43</v>
      </c>
      <c r="E41" t="s">
        <v>28</v>
      </c>
      <c r="F41" t="s">
        <v>29</v>
      </c>
      <c r="G41" t="s">
        <v>30</v>
      </c>
      <c r="H41">
        <v>1</v>
      </c>
      <c r="I41">
        <v>118500</v>
      </c>
      <c r="J41">
        <v>118500</v>
      </c>
      <c r="K41" t="s">
        <v>70</v>
      </c>
      <c r="L41" t="s">
        <v>47</v>
      </c>
      <c r="M41" t="b">
        <v>0</v>
      </c>
      <c r="N41" t="s">
        <v>33</v>
      </c>
    </row>
    <row r="42" spans="1:14" x14ac:dyDescent="0.35">
      <c r="A42" t="s">
        <v>137</v>
      </c>
      <c r="B42" t="s">
        <v>138</v>
      </c>
      <c r="C42" t="s">
        <v>50</v>
      </c>
      <c r="D42" t="s">
        <v>51</v>
      </c>
      <c r="E42" t="s">
        <v>18</v>
      </c>
      <c r="F42" t="s">
        <v>19</v>
      </c>
      <c r="G42" t="s">
        <v>20</v>
      </c>
      <c r="H42">
        <v>1</v>
      </c>
      <c r="I42">
        <v>21200</v>
      </c>
      <c r="J42">
        <v>21200</v>
      </c>
      <c r="K42" t="s">
        <v>21</v>
      </c>
      <c r="L42" t="s">
        <v>109</v>
      </c>
      <c r="M42" t="b">
        <v>1</v>
      </c>
      <c r="N42" t="s">
        <v>23</v>
      </c>
    </row>
    <row r="43" spans="1:14" x14ac:dyDescent="0.35">
      <c r="A43" t="s">
        <v>139</v>
      </c>
      <c r="B43" t="s">
        <v>140</v>
      </c>
      <c r="C43" t="s">
        <v>73</v>
      </c>
      <c r="D43" t="s">
        <v>43</v>
      </c>
      <c r="E43" t="s">
        <v>120</v>
      </c>
      <c r="F43" t="s">
        <v>45</v>
      </c>
      <c r="G43" t="s">
        <v>20</v>
      </c>
      <c r="H43">
        <v>1</v>
      </c>
      <c r="I43">
        <v>56100</v>
      </c>
      <c r="J43">
        <v>56100</v>
      </c>
      <c r="K43" t="s">
        <v>38</v>
      </c>
      <c r="L43" t="s">
        <v>32</v>
      </c>
      <c r="M43" t="b">
        <v>1</v>
      </c>
      <c r="N43" t="s">
        <v>33</v>
      </c>
    </row>
    <row r="44" spans="1:14" x14ac:dyDescent="0.35">
      <c r="A44" t="s">
        <v>141</v>
      </c>
      <c r="B44" t="s">
        <v>142</v>
      </c>
      <c r="C44" t="s">
        <v>42</v>
      </c>
      <c r="D44" t="s">
        <v>43</v>
      </c>
      <c r="E44" t="s">
        <v>94</v>
      </c>
      <c r="F44" t="s">
        <v>37</v>
      </c>
      <c r="G44" t="s">
        <v>20</v>
      </c>
      <c r="H44">
        <v>1</v>
      </c>
      <c r="I44">
        <v>18200</v>
      </c>
      <c r="J44">
        <v>18200</v>
      </c>
      <c r="K44" t="s">
        <v>38</v>
      </c>
      <c r="L44" t="s">
        <v>39</v>
      </c>
      <c r="M44" t="b">
        <v>0</v>
      </c>
      <c r="N44" t="s">
        <v>23</v>
      </c>
    </row>
    <row r="45" spans="1:14" x14ac:dyDescent="0.35">
      <c r="A45" t="s">
        <v>143</v>
      </c>
      <c r="B45" t="s">
        <v>144</v>
      </c>
      <c r="C45" t="s">
        <v>16</v>
      </c>
      <c r="D45" t="s">
        <v>17</v>
      </c>
      <c r="E45" t="s">
        <v>60</v>
      </c>
      <c r="F45" t="s">
        <v>53</v>
      </c>
      <c r="G45" t="s">
        <v>20</v>
      </c>
      <c r="H45">
        <v>5</v>
      </c>
      <c r="I45">
        <v>7000</v>
      </c>
      <c r="J45">
        <v>35000</v>
      </c>
      <c r="K45" t="s">
        <v>31</v>
      </c>
      <c r="L45" t="s">
        <v>88</v>
      </c>
      <c r="M45" t="b">
        <v>0</v>
      </c>
      <c r="N45" t="s">
        <v>23</v>
      </c>
    </row>
    <row r="46" spans="1:14" x14ac:dyDescent="0.35">
      <c r="A46" t="s">
        <v>145</v>
      </c>
      <c r="B46" t="s">
        <v>146</v>
      </c>
      <c r="C46" t="s">
        <v>67</v>
      </c>
      <c r="D46" t="s">
        <v>59</v>
      </c>
      <c r="E46" t="s">
        <v>97</v>
      </c>
      <c r="F46" t="s">
        <v>29</v>
      </c>
      <c r="G46" t="s">
        <v>30</v>
      </c>
      <c r="H46">
        <v>2</v>
      </c>
      <c r="I46">
        <v>32900</v>
      </c>
      <c r="J46">
        <v>65800</v>
      </c>
      <c r="K46" t="s">
        <v>54</v>
      </c>
      <c r="L46" t="s">
        <v>22</v>
      </c>
      <c r="M46" t="b">
        <v>0</v>
      </c>
      <c r="N46" t="s">
        <v>33</v>
      </c>
    </row>
    <row r="47" spans="1:14" x14ac:dyDescent="0.35">
      <c r="A47" t="s">
        <v>147</v>
      </c>
      <c r="B47" t="s">
        <v>148</v>
      </c>
      <c r="C47" t="s">
        <v>26</v>
      </c>
      <c r="D47" t="s">
        <v>27</v>
      </c>
      <c r="E47" t="s">
        <v>44</v>
      </c>
      <c r="F47" t="s">
        <v>45</v>
      </c>
      <c r="G47" t="s">
        <v>30</v>
      </c>
      <c r="H47">
        <v>1</v>
      </c>
      <c r="I47">
        <v>25400</v>
      </c>
      <c r="J47">
        <v>25400</v>
      </c>
      <c r="K47" t="s">
        <v>31</v>
      </c>
      <c r="L47" t="s">
        <v>47</v>
      </c>
      <c r="M47" t="b">
        <v>0</v>
      </c>
      <c r="N47" t="s">
        <v>23</v>
      </c>
    </row>
    <row r="48" spans="1:14" x14ac:dyDescent="0.35">
      <c r="A48" t="s">
        <v>149</v>
      </c>
      <c r="B48" t="s">
        <v>150</v>
      </c>
      <c r="C48" t="s">
        <v>65</v>
      </c>
      <c r="D48" t="s">
        <v>27</v>
      </c>
      <c r="E48" t="s">
        <v>74</v>
      </c>
      <c r="F48" t="s">
        <v>75</v>
      </c>
      <c r="G48" t="s">
        <v>30</v>
      </c>
      <c r="H48">
        <v>1</v>
      </c>
      <c r="I48">
        <v>4300</v>
      </c>
      <c r="J48">
        <v>4300</v>
      </c>
      <c r="K48" t="s">
        <v>70</v>
      </c>
      <c r="L48" t="s">
        <v>88</v>
      </c>
      <c r="M48" t="b">
        <v>0</v>
      </c>
      <c r="N48" t="s">
        <v>23</v>
      </c>
    </row>
    <row r="49" spans="1:14" x14ac:dyDescent="0.35">
      <c r="A49" t="s">
        <v>151</v>
      </c>
      <c r="B49" t="s">
        <v>152</v>
      </c>
      <c r="C49" t="s">
        <v>26</v>
      </c>
      <c r="D49" t="s">
        <v>27</v>
      </c>
      <c r="E49" t="s">
        <v>36</v>
      </c>
      <c r="F49" t="s">
        <v>37</v>
      </c>
      <c r="G49" t="s">
        <v>30</v>
      </c>
      <c r="H49">
        <v>4</v>
      </c>
      <c r="I49">
        <v>44900</v>
      </c>
      <c r="J49">
        <v>179600</v>
      </c>
      <c r="K49" t="s">
        <v>54</v>
      </c>
      <c r="L49" t="s">
        <v>39</v>
      </c>
      <c r="M49" t="b">
        <v>0</v>
      </c>
      <c r="N49" t="s">
        <v>33</v>
      </c>
    </row>
    <row r="50" spans="1:14" x14ac:dyDescent="0.35">
      <c r="A50" t="s">
        <v>153</v>
      </c>
      <c r="B50" t="s">
        <v>154</v>
      </c>
      <c r="C50" t="s">
        <v>26</v>
      </c>
      <c r="D50" t="s">
        <v>27</v>
      </c>
      <c r="E50" t="s">
        <v>60</v>
      </c>
      <c r="F50" t="s">
        <v>53</v>
      </c>
      <c r="G50" t="s">
        <v>30</v>
      </c>
      <c r="H50">
        <v>2</v>
      </c>
      <c r="I50">
        <v>6400</v>
      </c>
      <c r="J50">
        <v>12800</v>
      </c>
      <c r="K50" t="s">
        <v>46</v>
      </c>
      <c r="L50" t="s">
        <v>88</v>
      </c>
      <c r="M50" t="b">
        <v>0</v>
      </c>
      <c r="N50" t="s">
        <v>23</v>
      </c>
    </row>
    <row r="51" spans="1:14" x14ac:dyDescent="0.35">
      <c r="A51" t="s">
        <v>155</v>
      </c>
      <c r="B51" t="s">
        <v>156</v>
      </c>
      <c r="C51" t="s">
        <v>58</v>
      </c>
      <c r="D51" t="s">
        <v>59</v>
      </c>
      <c r="E51" t="s">
        <v>60</v>
      </c>
      <c r="F51" t="s">
        <v>53</v>
      </c>
      <c r="G51" t="s">
        <v>30</v>
      </c>
      <c r="H51">
        <v>2</v>
      </c>
      <c r="I51">
        <v>7200</v>
      </c>
      <c r="J51">
        <v>14400</v>
      </c>
      <c r="K51" t="s">
        <v>21</v>
      </c>
      <c r="L51" t="s">
        <v>55</v>
      </c>
      <c r="M51" t="b">
        <v>0</v>
      </c>
      <c r="N51" t="s">
        <v>23</v>
      </c>
    </row>
    <row r="52" spans="1:14" x14ac:dyDescent="0.35">
      <c r="A52" t="s">
        <v>157</v>
      </c>
      <c r="B52" t="s">
        <v>62</v>
      </c>
      <c r="C52" t="s">
        <v>16</v>
      </c>
      <c r="D52" t="s">
        <v>17</v>
      </c>
      <c r="E52" t="s">
        <v>102</v>
      </c>
      <c r="F52" t="s">
        <v>29</v>
      </c>
      <c r="G52" t="s">
        <v>30</v>
      </c>
      <c r="H52">
        <v>1</v>
      </c>
      <c r="I52">
        <v>28100</v>
      </c>
      <c r="J52">
        <v>28100</v>
      </c>
      <c r="K52" t="s">
        <v>31</v>
      </c>
      <c r="L52" t="s">
        <v>32</v>
      </c>
      <c r="M52" t="b">
        <v>1</v>
      </c>
      <c r="N52" t="s">
        <v>33</v>
      </c>
    </row>
    <row r="53" spans="1:14" x14ac:dyDescent="0.35">
      <c r="A53" t="s">
        <v>158</v>
      </c>
      <c r="B53" t="s">
        <v>159</v>
      </c>
      <c r="C53" t="s">
        <v>42</v>
      </c>
      <c r="D53" t="s">
        <v>43</v>
      </c>
      <c r="E53" t="s">
        <v>52</v>
      </c>
      <c r="F53" t="s">
        <v>53</v>
      </c>
      <c r="G53" t="s">
        <v>30</v>
      </c>
      <c r="H53">
        <v>2</v>
      </c>
      <c r="I53">
        <v>8200</v>
      </c>
      <c r="J53">
        <v>16400</v>
      </c>
      <c r="K53" t="s">
        <v>38</v>
      </c>
      <c r="L53" t="s">
        <v>32</v>
      </c>
      <c r="M53" t="b">
        <v>1</v>
      </c>
      <c r="N53" t="s">
        <v>23</v>
      </c>
    </row>
    <row r="54" spans="1:14" x14ac:dyDescent="0.35">
      <c r="A54" t="s">
        <v>160</v>
      </c>
      <c r="B54" t="s">
        <v>161</v>
      </c>
      <c r="C54" t="s">
        <v>65</v>
      </c>
      <c r="D54" t="s">
        <v>27</v>
      </c>
      <c r="E54" t="s">
        <v>94</v>
      </c>
      <c r="F54" t="s">
        <v>37</v>
      </c>
      <c r="G54" t="s">
        <v>30</v>
      </c>
      <c r="H54">
        <v>1</v>
      </c>
      <c r="I54">
        <v>18200</v>
      </c>
      <c r="J54">
        <v>18200</v>
      </c>
      <c r="K54" t="s">
        <v>21</v>
      </c>
      <c r="L54" t="s">
        <v>32</v>
      </c>
      <c r="M54" t="b">
        <v>1</v>
      </c>
      <c r="N54" t="s">
        <v>23</v>
      </c>
    </row>
    <row r="55" spans="1:14" x14ac:dyDescent="0.35">
      <c r="A55" t="s">
        <v>162</v>
      </c>
      <c r="B55" t="s">
        <v>163</v>
      </c>
      <c r="C55" t="s">
        <v>58</v>
      </c>
      <c r="D55" t="s">
        <v>59</v>
      </c>
      <c r="E55" t="s">
        <v>28</v>
      </c>
      <c r="F55" t="s">
        <v>29</v>
      </c>
      <c r="G55" t="s">
        <v>20</v>
      </c>
      <c r="H55">
        <v>2</v>
      </c>
      <c r="I55">
        <v>123900</v>
      </c>
      <c r="J55">
        <v>247800</v>
      </c>
      <c r="K55" t="s">
        <v>31</v>
      </c>
      <c r="L55" t="s">
        <v>109</v>
      </c>
      <c r="M55" t="b">
        <v>1</v>
      </c>
      <c r="N55" t="s">
        <v>33</v>
      </c>
    </row>
    <row r="56" spans="1:14" x14ac:dyDescent="0.35">
      <c r="A56" t="s">
        <v>164</v>
      </c>
      <c r="B56" t="s">
        <v>165</v>
      </c>
      <c r="C56" t="s">
        <v>42</v>
      </c>
      <c r="D56" t="s">
        <v>43</v>
      </c>
      <c r="E56" t="s">
        <v>60</v>
      </c>
      <c r="F56" t="s">
        <v>53</v>
      </c>
      <c r="G56" t="s">
        <v>30</v>
      </c>
      <c r="H56">
        <v>2</v>
      </c>
      <c r="I56">
        <v>6400</v>
      </c>
      <c r="J56">
        <v>12800</v>
      </c>
      <c r="K56" t="s">
        <v>21</v>
      </c>
      <c r="L56" t="s">
        <v>39</v>
      </c>
      <c r="M56" t="b">
        <v>0</v>
      </c>
      <c r="N56" t="s">
        <v>23</v>
      </c>
    </row>
    <row r="57" spans="1:14" x14ac:dyDescent="0.35">
      <c r="A57" t="s">
        <v>166</v>
      </c>
      <c r="B57" t="s">
        <v>167</v>
      </c>
      <c r="C57" t="s">
        <v>16</v>
      </c>
      <c r="D57" t="s">
        <v>17</v>
      </c>
      <c r="E57" t="s">
        <v>44</v>
      </c>
      <c r="F57" t="s">
        <v>45</v>
      </c>
      <c r="G57" t="s">
        <v>30</v>
      </c>
      <c r="H57">
        <v>2</v>
      </c>
      <c r="I57">
        <v>25700</v>
      </c>
      <c r="J57">
        <v>51400</v>
      </c>
      <c r="K57" t="s">
        <v>31</v>
      </c>
      <c r="L57" t="s">
        <v>109</v>
      </c>
      <c r="M57" t="b">
        <v>1</v>
      </c>
      <c r="N57" t="s">
        <v>23</v>
      </c>
    </row>
    <row r="58" spans="1:14" x14ac:dyDescent="0.35">
      <c r="A58" t="s">
        <v>168</v>
      </c>
      <c r="B58" t="s">
        <v>113</v>
      </c>
      <c r="C58" t="s">
        <v>67</v>
      </c>
      <c r="D58" t="s">
        <v>59</v>
      </c>
      <c r="E58" t="s">
        <v>97</v>
      </c>
      <c r="F58" t="s">
        <v>29</v>
      </c>
      <c r="G58" t="s">
        <v>30</v>
      </c>
      <c r="H58">
        <v>1</v>
      </c>
      <c r="I58">
        <v>31400</v>
      </c>
      <c r="J58">
        <v>31400</v>
      </c>
      <c r="K58" t="s">
        <v>46</v>
      </c>
      <c r="L58" t="s">
        <v>88</v>
      </c>
      <c r="M58" t="b">
        <v>0</v>
      </c>
      <c r="N58" t="s">
        <v>33</v>
      </c>
    </row>
    <row r="59" spans="1:14" x14ac:dyDescent="0.35">
      <c r="A59" t="s">
        <v>169</v>
      </c>
      <c r="B59" t="s">
        <v>170</v>
      </c>
      <c r="C59" t="s">
        <v>16</v>
      </c>
      <c r="D59" t="s">
        <v>17</v>
      </c>
      <c r="E59" t="s">
        <v>60</v>
      </c>
      <c r="F59" t="s">
        <v>53</v>
      </c>
      <c r="G59" t="s">
        <v>30</v>
      </c>
      <c r="H59">
        <v>4</v>
      </c>
      <c r="I59">
        <v>6700</v>
      </c>
      <c r="J59">
        <v>26800</v>
      </c>
      <c r="K59" t="s">
        <v>46</v>
      </c>
      <c r="L59" t="s">
        <v>109</v>
      </c>
      <c r="M59" t="b">
        <v>1</v>
      </c>
      <c r="N59" t="s">
        <v>23</v>
      </c>
    </row>
    <row r="60" spans="1:14" x14ac:dyDescent="0.35">
      <c r="A60" t="s">
        <v>171</v>
      </c>
      <c r="B60" t="s">
        <v>172</v>
      </c>
      <c r="C60" t="s">
        <v>73</v>
      </c>
      <c r="D60" t="s">
        <v>43</v>
      </c>
      <c r="E60" t="s">
        <v>44</v>
      </c>
      <c r="F60" t="s">
        <v>45</v>
      </c>
      <c r="G60" t="s">
        <v>20</v>
      </c>
      <c r="H60">
        <v>1</v>
      </c>
      <c r="I60">
        <v>28200</v>
      </c>
      <c r="J60">
        <v>28200</v>
      </c>
      <c r="K60" t="s">
        <v>54</v>
      </c>
      <c r="L60" t="s">
        <v>88</v>
      </c>
      <c r="M60" t="b">
        <v>0</v>
      </c>
      <c r="N60" t="s">
        <v>33</v>
      </c>
    </row>
    <row r="61" spans="1:14" x14ac:dyDescent="0.35">
      <c r="A61" t="s">
        <v>173</v>
      </c>
      <c r="B61" t="s">
        <v>174</v>
      </c>
      <c r="C61" t="s">
        <v>65</v>
      </c>
      <c r="D61" t="s">
        <v>27</v>
      </c>
      <c r="E61" t="s">
        <v>97</v>
      </c>
      <c r="F61" t="s">
        <v>29</v>
      </c>
      <c r="G61" t="s">
        <v>30</v>
      </c>
      <c r="H61">
        <v>2</v>
      </c>
      <c r="I61">
        <v>33300</v>
      </c>
      <c r="J61">
        <v>66600</v>
      </c>
      <c r="K61" t="s">
        <v>31</v>
      </c>
      <c r="L61" t="s">
        <v>39</v>
      </c>
      <c r="M61" t="b">
        <v>0</v>
      </c>
      <c r="N61" t="s">
        <v>33</v>
      </c>
    </row>
    <row r="62" spans="1:14" x14ac:dyDescent="0.35">
      <c r="A62" t="s">
        <v>175</v>
      </c>
      <c r="B62" t="s">
        <v>176</v>
      </c>
      <c r="C62" t="s">
        <v>58</v>
      </c>
      <c r="D62" t="s">
        <v>59</v>
      </c>
      <c r="E62" t="s">
        <v>102</v>
      </c>
      <c r="F62" t="s">
        <v>29</v>
      </c>
      <c r="G62" t="s">
        <v>30</v>
      </c>
      <c r="H62">
        <v>1</v>
      </c>
      <c r="I62">
        <v>31600</v>
      </c>
      <c r="J62">
        <v>31600</v>
      </c>
      <c r="K62" t="s">
        <v>70</v>
      </c>
      <c r="L62" t="s">
        <v>55</v>
      </c>
      <c r="M62" t="b">
        <v>0</v>
      </c>
      <c r="N62" t="s">
        <v>33</v>
      </c>
    </row>
    <row r="63" spans="1:14" x14ac:dyDescent="0.35">
      <c r="A63" t="s">
        <v>177</v>
      </c>
      <c r="B63" t="s">
        <v>178</v>
      </c>
      <c r="C63" t="s">
        <v>73</v>
      </c>
      <c r="D63" t="s">
        <v>43</v>
      </c>
      <c r="E63" t="s">
        <v>28</v>
      </c>
      <c r="F63" t="s">
        <v>29</v>
      </c>
      <c r="G63" t="s">
        <v>30</v>
      </c>
      <c r="H63">
        <v>1</v>
      </c>
      <c r="I63">
        <v>106900</v>
      </c>
      <c r="J63">
        <v>106900</v>
      </c>
      <c r="K63" t="s">
        <v>38</v>
      </c>
      <c r="L63" t="s">
        <v>47</v>
      </c>
      <c r="M63" t="b">
        <v>0</v>
      </c>
      <c r="N63" t="s">
        <v>33</v>
      </c>
    </row>
    <row r="64" spans="1:14" x14ac:dyDescent="0.35">
      <c r="A64" t="s">
        <v>179</v>
      </c>
      <c r="B64" t="s">
        <v>101</v>
      </c>
      <c r="C64" t="s">
        <v>73</v>
      </c>
      <c r="D64" t="s">
        <v>43</v>
      </c>
      <c r="E64" t="s">
        <v>102</v>
      </c>
      <c r="F64" t="s">
        <v>29</v>
      </c>
      <c r="G64" t="s">
        <v>30</v>
      </c>
      <c r="H64">
        <v>1</v>
      </c>
      <c r="I64">
        <v>28500</v>
      </c>
      <c r="J64">
        <v>28500</v>
      </c>
      <c r="K64" t="s">
        <v>21</v>
      </c>
      <c r="L64" t="s">
        <v>88</v>
      </c>
      <c r="M64" t="b">
        <v>0</v>
      </c>
      <c r="N64" t="s">
        <v>33</v>
      </c>
    </row>
    <row r="65" spans="1:14" x14ac:dyDescent="0.35">
      <c r="A65" t="s">
        <v>180</v>
      </c>
      <c r="B65" t="s">
        <v>25</v>
      </c>
      <c r="C65" t="s">
        <v>73</v>
      </c>
      <c r="D65" t="s">
        <v>43</v>
      </c>
      <c r="E65" t="s">
        <v>18</v>
      </c>
      <c r="F65" t="s">
        <v>19</v>
      </c>
      <c r="G65" t="s">
        <v>20</v>
      </c>
      <c r="H65">
        <v>1</v>
      </c>
      <c r="I65">
        <v>23200</v>
      </c>
      <c r="J65">
        <v>23200</v>
      </c>
      <c r="K65" t="s">
        <v>31</v>
      </c>
      <c r="L65" t="s">
        <v>32</v>
      </c>
      <c r="M65" t="b">
        <v>1</v>
      </c>
      <c r="N65" t="s">
        <v>23</v>
      </c>
    </row>
    <row r="66" spans="1:14" x14ac:dyDescent="0.35">
      <c r="A66" t="s">
        <v>181</v>
      </c>
      <c r="B66" t="s">
        <v>182</v>
      </c>
      <c r="C66" t="s">
        <v>73</v>
      </c>
      <c r="D66" t="s">
        <v>43</v>
      </c>
      <c r="E66" t="s">
        <v>102</v>
      </c>
      <c r="F66" t="s">
        <v>29</v>
      </c>
      <c r="G66" t="s">
        <v>20</v>
      </c>
      <c r="H66">
        <v>1</v>
      </c>
      <c r="I66">
        <v>29500</v>
      </c>
      <c r="J66">
        <v>29500</v>
      </c>
      <c r="K66" t="s">
        <v>38</v>
      </c>
      <c r="L66" t="s">
        <v>39</v>
      </c>
      <c r="M66" t="b">
        <v>0</v>
      </c>
      <c r="N66" t="s">
        <v>33</v>
      </c>
    </row>
    <row r="67" spans="1:14" x14ac:dyDescent="0.35">
      <c r="A67" t="s">
        <v>183</v>
      </c>
      <c r="B67" t="s">
        <v>184</v>
      </c>
      <c r="C67" t="s">
        <v>58</v>
      </c>
      <c r="D67" t="s">
        <v>59</v>
      </c>
      <c r="E67" t="s">
        <v>74</v>
      </c>
      <c r="F67" t="s">
        <v>75</v>
      </c>
      <c r="G67" t="s">
        <v>30</v>
      </c>
      <c r="H67">
        <v>2</v>
      </c>
      <c r="I67">
        <v>4700</v>
      </c>
      <c r="J67">
        <v>9400</v>
      </c>
      <c r="K67" t="s">
        <v>70</v>
      </c>
      <c r="L67" t="s">
        <v>109</v>
      </c>
      <c r="M67" t="b">
        <v>1</v>
      </c>
      <c r="N67" t="s">
        <v>23</v>
      </c>
    </row>
    <row r="68" spans="1:14" x14ac:dyDescent="0.35">
      <c r="A68" t="s">
        <v>185</v>
      </c>
      <c r="B68" t="s">
        <v>186</v>
      </c>
      <c r="C68" t="s">
        <v>50</v>
      </c>
      <c r="D68" t="s">
        <v>51</v>
      </c>
      <c r="E68" t="s">
        <v>120</v>
      </c>
      <c r="F68" t="s">
        <v>45</v>
      </c>
      <c r="G68" t="s">
        <v>20</v>
      </c>
      <c r="H68">
        <v>1</v>
      </c>
      <c r="I68">
        <v>57800</v>
      </c>
      <c r="J68">
        <v>57800</v>
      </c>
      <c r="K68" t="s">
        <v>38</v>
      </c>
      <c r="L68" t="s">
        <v>109</v>
      </c>
      <c r="M68" t="b">
        <v>1</v>
      </c>
      <c r="N68" t="s">
        <v>33</v>
      </c>
    </row>
    <row r="69" spans="1:14" x14ac:dyDescent="0.35">
      <c r="A69" t="s">
        <v>187</v>
      </c>
      <c r="B69" t="s">
        <v>188</v>
      </c>
      <c r="C69" t="s">
        <v>65</v>
      </c>
      <c r="D69" t="s">
        <v>27</v>
      </c>
      <c r="E69" t="s">
        <v>44</v>
      </c>
      <c r="F69" t="s">
        <v>45</v>
      </c>
      <c r="G69" t="s">
        <v>30</v>
      </c>
      <c r="H69">
        <v>1</v>
      </c>
      <c r="I69">
        <v>26300</v>
      </c>
      <c r="J69">
        <v>26300</v>
      </c>
      <c r="K69" t="s">
        <v>31</v>
      </c>
      <c r="L69" t="s">
        <v>39</v>
      </c>
      <c r="M69" t="b">
        <v>0</v>
      </c>
      <c r="N69" t="s">
        <v>23</v>
      </c>
    </row>
    <row r="70" spans="1:14" x14ac:dyDescent="0.35">
      <c r="A70" t="s">
        <v>189</v>
      </c>
      <c r="B70" t="s">
        <v>190</v>
      </c>
      <c r="C70" t="s">
        <v>65</v>
      </c>
      <c r="D70" t="s">
        <v>27</v>
      </c>
      <c r="E70" t="s">
        <v>28</v>
      </c>
      <c r="F70" t="s">
        <v>29</v>
      </c>
      <c r="G70" t="s">
        <v>20</v>
      </c>
      <c r="H70">
        <v>2</v>
      </c>
      <c r="I70">
        <v>114000</v>
      </c>
      <c r="J70">
        <v>228000</v>
      </c>
      <c r="K70" t="s">
        <v>70</v>
      </c>
      <c r="L70" t="s">
        <v>22</v>
      </c>
      <c r="M70" t="b">
        <v>0</v>
      </c>
      <c r="N70" t="s">
        <v>33</v>
      </c>
    </row>
    <row r="71" spans="1:14" x14ac:dyDescent="0.35">
      <c r="A71" t="s">
        <v>191</v>
      </c>
      <c r="B71" t="s">
        <v>192</v>
      </c>
      <c r="C71" t="s">
        <v>58</v>
      </c>
      <c r="D71" t="s">
        <v>59</v>
      </c>
      <c r="E71" t="s">
        <v>52</v>
      </c>
      <c r="F71" t="s">
        <v>53</v>
      </c>
      <c r="G71" t="s">
        <v>30</v>
      </c>
      <c r="H71">
        <v>3</v>
      </c>
      <c r="I71">
        <v>9000</v>
      </c>
      <c r="J71">
        <v>27000</v>
      </c>
      <c r="K71" t="s">
        <v>38</v>
      </c>
      <c r="L71" t="s">
        <v>32</v>
      </c>
      <c r="M71" t="b">
        <v>1</v>
      </c>
      <c r="N71" t="s">
        <v>23</v>
      </c>
    </row>
    <row r="72" spans="1:14" x14ac:dyDescent="0.35">
      <c r="A72" t="s">
        <v>193</v>
      </c>
      <c r="B72" t="s">
        <v>194</v>
      </c>
      <c r="C72" t="s">
        <v>42</v>
      </c>
      <c r="D72" t="s">
        <v>43</v>
      </c>
      <c r="E72" t="s">
        <v>60</v>
      </c>
      <c r="F72" t="s">
        <v>53</v>
      </c>
      <c r="G72" t="s">
        <v>30</v>
      </c>
      <c r="H72">
        <v>1</v>
      </c>
      <c r="I72">
        <v>7200</v>
      </c>
      <c r="J72">
        <v>7200</v>
      </c>
      <c r="K72" t="s">
        <v>70</v>
      </c>
      <c r="L72" t="s">
        <v>22</v>
      </c>
      <c r="M72" t="b">
        <v>0</v>
      </c>
      <c r="N72" t="s">
        <v>23</v>
      </c>
    </row>
    <row r="73" spans="1:14" x14ac:dyDescent="0.35">
      <c r="A73" t="s">
        <v>195</v>
      </c>
      <c r="B73" t="s">
        <v>184</v>
      </c>
      <c r="C73" t="s">
        <v>50</v>
      </c>
      <c r="D73" t="s">
        <v>51</v>
      </c>
      <c r="E73" t="s">
        <v>102</v>
      </c>
      <c r="F73" t="s">
        <v>29</v>
      </c>
      <c r="G73" t="s">
        <v>30</v>
      </c>
      <c r="H73">
        <v>1</v>
      </c>
      <c r="I73">
        <v>30700</v>
      </c>
      <c r="J73">
        <v>30700</v>
      </c>
      <c r="K73" t="s">
        <v>70</v>
      </c>
      <c r="L73" t="s">
        <v>109</v>
      </c>
      <c r="M73" t="b">
        <v>1</v>
      </c>
      <c r="N73" t="s">
        <v>33</v>
      </c>
    </row>
    <row r="74" spans="1:14" x14ac:dyDescent="0.35">
      <c r="A74" t="s">
        <v>196</v>
      </c>
      <c r="B74" t="s">
        <v>197</v>
      </c>
      <c r="C74" t="s">
        <v>50</v>
      </c>
      <c r="D74" t="s">
        <v>51</v>
      </c>
      <c r="E74" t="s">
        <v>74</v>
      </c>
      <c r="F74" t="s">
        <v>75</v>
      </c>
      <c r="G74" t="s">
        <v>30</v>
      </c>
      <c r="H74">
        <v>3</v>
      </c>
      <c r="I74">
        <v>4800</v>
      </c>
      <c r="J74">
        <v>14400</v>
      </c>
      <c r="K74" t="s">
        <v>46</v>
      </c>
      <c r="L74" t="s">
        <v>22</v>
      </c>
      <c r="M74" t="b">
        <v>0</v>
      </c>
      <c r="N74" t="s">
        <v>23</v>
      </c>
    </row>
    <row r="75" spans="1:14" x14ac:dyDescent="0.35">
      <c r="A75" t="s">
        <v>198</v>
      </c>
      <c r="B75" t="s">
        <v>199</v>
      </c>
      <c r="C75" t="s">
        <v>67</v>
      </c>
      <c r="D75" t="s">
        <v>59</v>
      </c>
      <c r="E75" t="s">
        <v>120</v>
      </c>
      <c r="F75" t="s">
        <v>45</v>
      </c>
      <c r="G75" t="s">
        <v>30</v>
      </c>
      <c r="H75">
        <v>1</v>
      </c>
      <c r="I75">
        <v>54100</v>
      </c>
      <c r="J75">
        <v>54100</v>
      </c>
      <c r="K75" t="s">
        <v>54</v>
      </c>
      <c r="L75" t="s">
        <v>47</v>
      </c>
      <c r="M75" t="b">
        <v>0</v>
      </c>
      <c r="N75" t="s">
        <v>33</v>
      </c>
    </row>
    <row r="76" spans="1:14" x14ac:dyDescent="0.35">
      <c r="A76" t="s">
        <v>200</v>
      </c>
      <c r="B76" t="s">
        <v>182</v>
      </c>
      <c r="C76" t="s">
        <v>58</v>
      </c>
      <c r="D76" t="s">
        <v>59</v>
      </c>
      <c r="E76" t="s">
        <v>44</v>
      </c>
      <c r="F76" t="s">
        <v>45</v>
      </c>
      <c r="G76" t="s">
        <v>20</v>
      </c>
      <c r="H76">
        <v>1</v>
      </c>
      <c r="I76">
        <v>27700</v>
      </c>
      <c r="J76">
        <v>27700</v>
      </c>
      <c r="K76" t="s">
        <v>38</v>
      </c>
      <c r="L76" t="s">
        <v>39</v>
      </c>
      <c r="M76" t="b">
        <v>0</v>
      </c>
      <c r="N76" t="s">
        <v>23</v>
      </c>
    </row>
    <row r="77" spans="1:14" x14ac:dyDescent="0.35">
      <c r="A77" t="s">
        <v>201</v>
      </c>
      <c r="B77" t="s">
        <v>136</v>
      </c>
      <c r="C77" t="s">
        <v>73</v>
      </c>
      <c r="D77" t="s">
        <v>43</v>
      </c>
      <c r="E77" t="s">
        <v>60</v>
      </c>
      <c r="F77" t="s">
        <v>53</v>
      </c>
      <c r="G77" t="s">
        <v>30</v>
      </c>
      <c r="H77">
        <v>1</v>
      </c>
      <c r="I77">
        <v>6700</v>
      </c>
      <c r="J77">
        <v>6700</v>
      </c>
      <c r="K77" t="s">
        <v>70</v>
      </c>
      <c r="L77" t="s">
        <v>47</v>
      </c>
      <c r="M77" t="b">
        <v>0</v>
      </c>
      <c r="N77" t="s">
        <v>23</v>
      </c>
    </row>
    <row r="78" spans="1:14" x14ac:dyDescent="0.35">
      <c r="A78" t="s">
        <v>202</v>
      </c>
      <c r="B78" t="s">
        <v>203</v>
      </c>
      <c r="C78" t="s">
        <v>26</v>
      </c>
      <c r="D78" t="s">
        <v>27</v>
      </c>
      <c r="E78" t="s">
        <v>60</v>
      </c>
      <c r="F78" t="s">
        <v>53</v>
      </c>
      <c r="G78" t="s">
        <v>20</v>
      </c>
      <c r="H78">
        <v>1</v>
      </c>
      <c r="I78">
        <v>7100</v>
      </c>
      <c r="J78">
        <v>7100</v>
      </c>
      <c r="K78" t="s">
        <v>70</v>
      </c>
      <c r="L78" t="s">
        <v>55</v>
      </c>
      <c r="M78" t="b">
        <v>0</v>
      </c>
      <c r="N78" t="s">
        <v>23</v>
      </c>
    </row>
    <row r="79" spans="1:14" x14ac:dyDescent="0.35">
      <c r="A79" t="s">
        <v>204</v>
      </c>
      <c r="B79" t="s">
        <v>205</v>
      </c>
      <c r="C79" t="s">
        <v>50</v>
      </c>
      <c r="D79" t="s">
        <v>51</v>
      </c>
      <c r="E79" t="s">
        <v>18</v>
      </c>
      <c r="F79" t="s">
        <v>19</v>
      </c>
      <c r="G79" t="s">
        <v>30</v>
      </c>
      <c r="H79">
        <v>1</v>
      </c>
      <c r="I79">
        <v>22400</v>
      </c>
      <c r="J79">
        <v>22400</v>
      </c>
      <c r="K79" t="s">
        <v>38</v>
      </c>
      <c r="L79" t="s">
        <v>22</v>
      </c>
      <c r="M79" t="b">
        <v>0</v>
      </c>
      <c r="N79" t="s">
        <v>23</v>
      </c>
    </row>
    <row r="80" spans="1:14" x14ac:dyDescent="0.35">
      <c r="A80" t="s">
        <v>206</v>
      </c>
      <c r="B80" t="s">
        <v>127</v>
      </c>
      <c r="C80" t="s">
        <v>16</v>
      </c>
      <c r="D80" t="s">
        <v>17</v>
      </c>
      <c r="E80" t="s">
        <v>36</v>
      </c>
      <c r="F80" t="s">
        <v>37</v>
      </c>
      <c r="G80" t="s">
        <v>20</v>
      </c>
      <c r="H80">
        <v>1</v>
      </c>
      <c r="I80">
        <v>41400</v>
      </c>
      <c r="J80">
        <v>41400</v>
      </c>
      <c r="K80" t="s">
        <v>46</v>
      </c>
      <c r="L80" t="s">
        <v>109</v>
      </c>
      <c r="M80" t="b">
        <v>1</v>
      </c>
      <c r="N80" t="s">
        <v>33</v>
      </c>
    </row>
    <row r="81" spans="1:14" x14ac:dyDescent="0.35">
      <c r="A81" t="s">
        <v>207</v>
      </c>
      <c r="B81" t="s">
        <v>129</v>
      </c>
      <c r="C81" t="s">
        <v>73</v>
      </c>
      <c r="D81" t="s">
        <v>43</v>
      </c>
      <c r="E81" t="s">
        <v>97</v>
      </c>
      <c r="F81" t="s">
        <v>29</v>
      </c>
      <c r="G81" t="s">
        <v>30</v>
      </c>
      <c r="H81">
        <v>2</v>
      </c>
      <c r="I81">
        <v>31000</v>
      </c>
      <c r="J81">
        <v>62000</v>
      </c>
      <c r="K81" t="s">
        <v>54</v>
      </c>
      <c r="L81" t="s">
        <v>109</v>
      </c>
      <c r="M81" t="b">
        <v>1</v>
      </c>
      <c r="N81" t="s">
        <v>33</v>
      </c>
    </row>
    <row r="82" spans="1:14" x14ac:dyDescent="0.35">
      <c r="A82" t="s">
        <v>208</v>
      </c>
      <c r="B82" t="s">
        <v>209</v>
      </c>
      <c r="C82" t="s">
        <v>26</v>
      </c>
      <c r="D82" t="s">
        <v>27</v>
      </c>
      <c r="E82" t="s">
        <v>52</v>
      </c>
      <c r="F82" t="s">
        <v>53</v>
      </c>
      <c r="G82" t="s">
        <v>20</v>
      </c>
      <c r="H82">
        <v>1</v>
      </c>
      <c r="I82">
        <v>9100</v>
      </c>
      <c r="J82">
        <v>9100</v>
      </c>
      <c r="K82" t="s">
        <v>21</v>
      </c>
      <c r="L82" t="s">
        <v>47</v>
      </c>
      <c r="M82" t="b">
        <v>0</v>
      </c>
      <c r="N82" t="s">
        <v>23</v>
      </c>
    </row>
    <row r="83" spans="1:14" x14ac:dyDescent="0.35">
      <c r="A83" t="s">
        <v>210</v>
      </c>
      <c r="B83" t="s">
        <v>211</v>
      </c>
      <c r="C83" t="s">
        <v>67</v>
      </c>
      <c r="D83" t="s">
        <v>59</v>
      </c>
      <c r="E83" t="s">
        <v>80</v>
      </c>
      <c r="F83" t="s">
        <v>81</v>
      </c>
      <c r="G83" t="s">
        <v>30</v>
      </c>
      <c r="H83">
        <v>2</v>
      </c>
      <c r="I83">
        <v>12500</v>
      </c>
      <c r="J83">
        <v>25000</v>
      </c>
      <c r="K83" t="s">
        <v>54</v>
      </c>
      <c r="L83" t="s">
        <v>47</v>
      </c>
      <c r="M83" t="b">
        <v>0</v>
      </c>
      <c r="N83" t="s">
        <v>23</v>
      </c>
    </row>
    <row r="84" spans="1:14" x14ac:dyDescent="0.35">
      <c r="A84" t="s">
        <v>212</v>
      </c>
      <c r="B84" t="s">
        <v>93</v>
      </c>
      <c r="C84" t="s">
        <v>16</v>
      </c>
      <c r="D84" t="s">
        <v>17</v>
      </c>
      <c r="E84" t="s">
        <v>52</v>
      </c>
      <c r="F84" t="s">
        <v>53</v>
      </c>
      <c r="G84" t="s">
        <v>30</v>
      </c>
      <c r="H84">
        <v>1</v>
      </c>
      <c r="I84">
        <v>8200</v>
      </c>
      <c r="J84">
        <v>8200</v>
      </c>
      <c r="K84" t="s">
        <v>21</v>
      </c>
      <c r="L84" t="s">
        <v>32</v>
      </c>
      <c r="M84" t="b">
        <v>1</v>
      </c>
      <c r="N84" t="s">
        <v>23</v>
      </c>
    </row>
    <row r="85" spans="1:14" x14ac:dyDescent="0.35">
      <c r="A85" t="s">
        <v>213</v>
      </c>
      <c r="B85" t="s">
        <v>214</v>
      </c>
      <c r="C85" t="s">
        <v>67</v>
      </c>
      <c r="D85" t="s">
        <v>59</v>
      </c>
      <c r="E85" t="s">
        <v>97</v>
      </c>
      <c r="F85" t="s">
        <v>29</v>
      </c>
      <c r="G85" t="s">
        <v>30</v>
      </c>
      <c r="H85">
        <v>1</v>
      </c>
      <c r="I85">
        <v>30900</v>
      </c>
      <c r="J85">
        <v>30900</v>
      </c>
      <c r="K85" t="s">
        <v>31</v>
      </c>
      <c r="L85" t="s">
        <v>47</v>
      </c>
      <c r="M85" t="b">
        <v>0</v>
      </c>
      <c r="N85" t="s">
        <v>33</v>
      </c>
    </row>
    <row r="86" spans="1:14" x14ac:dyDescent="0.35">
      <c r="A86" t="s">
        <v>215</v>
      </c>
      <c r="B86" t="s">
        <v>136</v>
      </c>
      <c r="C86" t="s">
        <v>58</v>
      </c>
      <c r="D86" t="s">
        <v>59</v>
      </c>
      <c r="E86" t="s">
        <v>36</v>
      </c>
      <c r="F86" t="s">
        <v>37</v>
      </c>
      <c r="G86" t="s">
        <v>30</v>
      </c>
      <c r="H86">
        <v>2</v>
      </c>
      <c r="I86">
        <v>42700</v>
      </c>
      <c r="J86">
        <v>85400</v>
      </c>
      <c r="K86" t="s">
        <v>70</v>
      </c>
      <c r="L86" t="s">
        <v>47</v>
      </c>
      <c r="M86" t="b">
        <v>0</v>
      </c>
      <c r="N86" t="s">
        <v>33</v>
      </c>
    </row>
    <row r="87" spans="1:14" x14ac:dyDescent="0.35">
      <c r="A87" t="s">
        <v>216</v>
      </c>
      <c r="B87" t="s">
        <v>217</v>
      </c>
      <c r="C87" t="s">
        <v>67</v>
      </c>
      <c r="D87" t="s">
        <v>59</v>
      </c>
      <c r="E87" t="s">
        <v>97</v>
      </c>
      <c r="F87" t="s">
        <v>29</v>
      </c>
      <c r="G87" t="s">
        <v>20</v>
      </c>
      <c r="H87">
        <v>3</v>
      </c>
      <c r="I87">
        <v>32800</v>
      </c>
      <c r="J87">
        <v>98400</v>
      </c>
      <c r="K87" t="s">
        <v>38</v>
      </c>
      <c r="L87" t="s">
        <v>47</v>
      </c>
      <c r="M87" t="b">
        <v>0</v>
      </c>
      <c r="N87" t="s">
        <v>33</v>
      </c>
    </row>
    <row r="88" spans="1:14" x14ac:dyDescent="0.35">
      <c r="A88" t="s">
        <v>218</v>
      </c>
      <c r="B88" t="s">
        <v>91</v>
      </c>
      <c r="C88" t="s">
        <v>73</v>
      </c>
      <c r="D88" t="s">
        <v>43</v>
      </c>
      <c r="E88" t="s">
        <v>94</v>
      </c>
      <c r="F88" t="s">
        <v>37</v>
      </c>
      <c r="G88" t="s">
        <v>20</v>
      </c>
      <c r="H88">
        <v>5</v>
      </c>
      <c r="I88">
        <v>19800</v>
      </c>
      <c r="J88">
        <v>99000</v>
      </c>
      <c r="K88" t="s">
        <v>21</v>
      </c>
      <c r="L88" t="s">
        <v>55</v>
      </c>
      <c r="M88" t="b">
        <v>0</v>
      </c>
      <c r="N88" t="s">
        <v>23</v>
      </c>
    </row>
    <row r="89" spans="1:14" x14ac:dyDescent="0.35">
      <c r="A89" t="s">
        <v>219</v>
      </c>
      <c r="B89" t="s">
        <v>220</v>
      </c>
      <c r="C89" t="s">
        <v>73</v>
      </c>
      <c r="D89" t="s">
        <v>43</v>
      </c>
      <c r="E89" t="s">
        <v>80</v>
      </c>
      <c r="F89" t="s">
        <v>81</v>
      </c>
      <c r="G89" t="s">
        <v>30</v>
      </c>
      <c r="H89">
        <v>1</v>
      </c>
      <c r="I89">
        <v>12900</v>
      </c>
      <c r="J89">
        <v>12900</v>
      </c>
      <c r="K89" t="s">
        <v>70</v>
      </c>
      <c r="L89" t="s">
        <v>109</v>
      </c>
      <c r="M89" t="b">
        <v>1</v>
      </c>
      <c r="N89" t="s">
        <v>23</v>
      </c>
    </row>
    <row r="90" spans="1:14" x14ac:dyDescent="0.35">
      <c r="A90" t="s">
        <v>221</v>
      </c>
      <c r="B90" t="s">
        <v>222</v>
      </c>
      <c r="C90" t="s">
        <v>67</v>
      </c>
      <c r="D90" t="s">
        <v>59</v>
      </c>
      <c r="E90" t="s">
        <v>60</v>
      </c>
      <c r="F90" t="s">
        <v>53</v>
      </c>
      <c r="G90" t="s">
        <v>20</v>
      </c>
      <c r="H90">
        <v>5</v>
      </c>
      <c r="I90">
        <v>7300</v>
      </c>
      <c r="J90">
        <v>36500</v>
      </c>
      <c r="K90" t="s">
        <v>31</v>
      </c>
      <c r="L90" t="s">
        <v>109</v>
      </c>
      <c r="M90" t="b">
        <v>1</v>
      </c>
      <c r="N90" t="s">
        <v>23</v>
      </c>
    </row>
    <row r="91" spans="1:14" x14ac:dyDescent="0.35">
      <c r="A91" t="s">
        <v>223</v>
      </c>
      <c r="B91" t="s">
        <v>224</v>
      </c>
      <c r="C91" t="s">
        <v>16</v>
      </c>
      <c r="D91" t="s">
        <v>17</v>
      </c>
      <c r="E91" t="s">
        <v>28</v>
      </c>
      <c r="F91" t="s">
        <v>29</v>
      </c>
      <c r="G91" t="s">
        <v>30</v>
      </c>
      <c r="H91">
        <v>2</v>
      </c>
      <c r="I91">
        <v>117200</v>
      </c>
      <c r="J91">
        <v>234400</v>
      </c>
      <c r="K91" t="s">
        <v>38</v>
      </c>
      <c r="L91" t="s">
        <v>88</v>
      </c>
      <c r="M91" t="b">
        <v>0</v>
      </c>
      <c r="N91" t="s">
        <v>33</v>
      </c>
    </row>
    <row r="92" spans="1:14" x14ac:dyDescent="0.35">
      <c r="A92" t="s">
        <v>225</v>
      </c>
      <c r="B92" t="s">
        <v>226</v>
      </c>
      <c r="C92" t="s">
        <v>50</v>
      </c>
      <c r="D92" t="s">
        <v>51</v>
      </c>
      <c r="E92" t="s">
        <v>120</v>
      </c>
      <c r="F92" t="s">
        <v>45</v>
      </c>
      <c r="G92" t="s">
        <v>20</v>
      </c>
      <c r="H92">
        <v>2</v>
      </c>
      <c r="I92">
        <v>57000</v>
      </c>
      <c r="J92">
        <v>114000</v>
      </c>
      <c r="K92" t="s">
        <v>70</v>
      </c>
      <c r="L92" t="s">
        <v>47</v>
      </c>
      <c r="M92" t="b">
        <v>0</v>
      </c>
      <c r="N92" t="s">
        <v>33</v>
      </c>
    </row>
    <row r="93" spans="1:14" x14ac:dyDescent="0.35">
      <c r="A93" t="s">
        <v>227</v>
      </c>
      <c r="B93" t="s">
        <v>119</v>
      </c>
      <c r="C93" t="s">
        <v>65</v>
      </c>
      <c r="D93" t="s">
        <v>27</v>
      </c>
      <c r="E93" t="s">
        <v>60</v>
      </c>
      <c r="F93" t="s">
        <v>53</v>
      </c>
      <c r="G93" t="s">
        <v>30</v>
      </c>
      <c r="H93">
        <v>3</v>
      </c>
      <c r="I93">
        <v>7300</v>
      </c>
      <c r="J93">
        <v>21900</v>
      </c>
      <c r="K93" t="s">
        <v>54</v>
      </c>
      <c r="L93" t="s">
        <v>55</v>
      </c>
      <c r="M93" t="b">
        <v>0</v>
      </c>
      <c r="N93" t="s">
        <v>23</v>
      </c>
    </row>
    <row r="94" spans="1:14" x14ac:dyDescent="0.35">
      <c r="A94" t="s">
        <v>228</v>
      </c>
      <c r="B94" t="s">
        <v>229</v>
      </c>
      <c r="C94" t="s">
        <v>73</v>
      </c>
      <c r="D94" t="s">
        <v>43</v>
      </c>
      <c r="E94" t="s">
        <v>60</v>
      </c>
      <c r="F94" t="s">
        <v>53</v>
      </c>
      <c r="G94" t="s">
        <v>20</v>
      </c>
      <c r="H94">
        <v>1</v>
      </c>
      <c r="I94">
        <v>6500</v>
      </c>
      <c r="J94">
        <v>6500</v>
      </c>
      <c r="K94" t="s">
        <v>70</v>
      </c>
      <c r="L94" t="s">
        <v>55</v>
      </c>
      <c r="M94" t="b">
        <v>0</v>
      </c>
      <c r="N94" t="s">
        <v>23</v>
      </c>
    </row>
    <row r="95" spans="1:14" x14ac:dyDescent="0.35">
      <c r="A95" t="s">
        <v>230</v>
      </c>
      <c r="B95" t="s">
        <v>231</v>
      </c>
      <c r="C95" t="s">
        <v>67</v>
      </c>
      <c r="D95" t="s">
        <v>59</v>
      </c>
      <c r="E95" t="s">
        <v>120</v>
      </c>
      <c r="F95" t="s">
        <v>45</v>
      </c>
      <c r="G95" t="s">
        <v>20</v>
      </c>
      <c r="H95">
        <v>2</v>
      </c>
      <c r="I95">
        <v>51000</v>
      </c>
      <c r="J95">
        <v>102000</v>
      </c>
      <c r="K95" t="s">
        <v>46</v>
      </c>
      <c r="L95" t="s">
        <v>47</v>
      </c>
      <c r="M95" t="b">
        <v>0</v>
      </c>
      <c r="N95" t="s">
        <v>33</v>
      </c>
    </row>
    <row r="96" spans="1:14" x14ac:dyDescent="0.35">
      <c r="A96" t="s">
        <v>232</v>
      </c>
      <c r="B96" t="s">
        <v>113</v>
      </c>
      <c r="C96" t="s">
        <v>26</v>
      </c>
      <c r="D96" t="s">
        <v>27</v>
      </c>
      <c r="E96" t="s">
        <v>44</v>
      </c>
      <c r="F96" t="s">
        <v>45</v>
      </c>
      <c r="G96" t="s">
        <v>20</v>
      </c>
      <c r="H96">
        <v>4</v>
      </c>
      <c r="I96">
        <v>26500</v>
      </c>
      <c r="J96">
        <v>106000</v>
      </c>
      <c r="K96" t="s">
        <v>46</v>
      </c>
      <c r="L96" t="s">
        <v>88</v>
      </c>
      <c r="M96" t="b">
        <v>0</v>
      </c>
      <c r="N96" t="s">
        <v>23</v>
      </c>
    </row>
    <row r="97" spans="1:14" x14ac:dyDescent="0.35">
      <c r="A97" t="s">
        <v>233</v>
      </c>
      <c r="B97" t="s">
        <v>234</v>
      </c>
      <c r="C97" t="s">
        <v>73</v>
      </c>
      <c r="D97" t="s">
        <v>43</v>
      </c>
      <c r="E97" t="s">
        <v>28</v>
      </c>
      <c r="F97" t="s">
        <v>29</v>
      </c>
      <c r="G97" t="s">
        <v>30</v>
      </c>
      <c r="H97">
        <v>2</v>
      </c>
      <c r="I97">
        <v>117700</v>
      </c>
      <c r="J97">
        <v>235400</v>
      </c>
      <c r="K97" t="s">
        <v>21</v>
      </c>
      <c r="L97" t="s">
        <v>47</v>
      </c>
      <c r="M97" t="b">
        <v>0</v>
      </c>
      <c r="N97" t="s">
        <v>33</v>
      </c>
    </row>
    <row r="98" spans="1:14" x14ac:dyDescent="0.35">
      <c r="A98" t="s">
        <v>235</v>
      </c>
      <c r="B98" t="s">
        <v>123</v>
      </c>
      <c r="C98" t="s">
        <v>58</v>
      </c>
      <c r="D98" t="s">
        <v>59</v>
      </c>
      <c r="E98" t="s">
        <v>94</v>
      </c>
      <c r="F98" t="s">
        <v>37</v>
      </c>
      <c r="G98" t="s">
        <v>30</v>
      </c>
      <c r="H98">
        <v>1</v>
      </c>
      <c r="I98">
        <v>18500</v>
      </c>
      <c r="J98">
        <v>18500</v>
      </c>
      <c r="K98" t="s">
        <v>31</v>
      </c>
      <c r="L98" t="s">
        <v>32</v>
      </c>
      <c r="M98" t="b">
        <v>1</v>
      </c>
      <c r="N98" t="s">
        <v>23</v>
      </c>
    </row>
    <row r="99" spans="1:14" x14ac:dyDescent="0.35">
      <c r="A99" t="s">
        <v>236</v>
      </c>
      <c r="B99" t="s">
        <v>237</v>
      </c>
      <c r="C99" t="s">
        <v>58</v>
      </c>
      <c r="D99" t="s">
        <v>59</v>
      </c>
      <c r="E99" t="s">
        <v>80</v>
      </c>
      <c r="F99" t="s">
        <v>81</v>
      </c>
      <c r="G99" t="s">
        <v>30</v>
      </c>
      <c r="H99">
        <v>1</v>
      </c>
      <c r="I99">
        <v>11600</v>
      </c>
      <c r="J99">
        <v>11600</v>
      </c>
      <c r="K99" t="s">
        <v>54</v>
      </c>
      <c r="L99" t="s">
        <v>39</v>
      </c>
      <c r="M99" t="b">
        <v>0</v>
      </c>
      <c r="N99" t="s">
        <v>23</v>
      </c>
    </row>
    <row r="100" spans="1:14" x14ac:dyDescent="0.35">
      <c r="A100" t="s">
        <v>238</v>
      </c>
      <c r="B100" t="s">
        <v>239</v>
      </c>
      <c r="C100" t="s">
        <v>65</v>
      </c>
      <c r="D100" t="s">
        <v>27</v>
      </c>
      <c r="E100" t="s">
        <v>102</v>
      </c>
      <c r="F100" t="s">
        <v>29</v>
      </c>
      <c r="G100" t="s">
        <v>30</v>
      </c>
      <c r="H100">
        <v>1</v>
      </c>
      <c r="I100">
        <v>29300</v>
      </c>
      <c r="J100">
        <v>29300</v>
      </c>
      <c r="K100" t="s">
        <v>21</v>
      </c>
      <c r="L100" t="s">
        <v>22</v>
      </c>
      <c r="M100" t="b">
        <v>0</v>
      </c>
      <c r="N100" t="s">
        <v>33</v>
      </c>
    </row>
    <row r="101" spans="1:14" x14ac:dyDescent="0.35">
      <c r="A101" t="s">
        <v>240</v>
      </c>
      <c r="B101" t="s">
        <v>241</v>
      </c>
      <c r="C101" t="s">
        <v>67</v>
      </c>
      <c r="D101" t="s">
        <v>59</v>
      </c>
      <c r="E101" t="s">
        <v>120</v>
      </c>
      <c r="F101" t="s">
        <v>45</v>
      </c>
      <c r="G101" t="s">
        <v>30</v>
      </c>
      <c r="H101">
        <v>1</v>
      </c>
      <c r="I101">
        <v>50900</v>
      </c>
      <c r="J101">
        <v>50900</v>
      </c>
      <c r="K101" t="s">
        <v>31</v>
      </c>
      <c r="L101" t="s">
        <v>39</v>
      </c>
      <c r="M101" t="b">
        <v>0</v>
      </c>
      <c r="N101" t="s">
        <v>33</v>
      </c>
    </row>
    <row r="102" spans="1:14" x14ac:dyDescent="0.35">
      <c r="A102" t="s">
        <v>242</v>
      </c>
      <c r="B102" t="s">
        <v>243</v>
      </c>
      <c r="C102" t="s">
        <v>26</v>
      </c>
      <c r="D102" t="s">
        <v>27</v>
      </c>
      <c r="E102" t="s">
        <v>60</v>
      </c>
      <c r="F102" t="s">
        <v>53</v>
      </c>
      <c r="G102" t="s">
        <v>30</v>
      </c>
      <c r="H102">
        <v>1</v>
      </c>
      <c r="I102">
        <v>6400</v>
      </c>
      <c r="J102">
        <v>6400</v>
      </c>
      <c r="K102" t="s">
        <v>70</v>
      </c>
      <c r="L102" t="s">
        <v>47</v>
      </c>
      <c r="M102" t="b">
        <v>0</v>
      </c>
      <c r="N102" t="s">
        <v>23</v>
      </c>
    </row>
    <row r="103" spans="1:14" x14ac:dyDescent="0.35">
      <c r="A103" t="s">
        <v>244</v>
      </c>
      <c r="B103" t="s">
        <v>245</v>
      </c>
      <c r="C103" t="s">
        <v>16</v>
      </c>
      <c r="D103" t="s">
        <v>17</v>
      </c>
      <c r="E103" t="s">
        <v>44</v>
      </c>
      <c r="F103" t="s">
        <v>45</v>
      </c>
      <c r="G103" t="s">
        <v>20</v>
      </c>
      <c r="H103">
        <v>1</v>
      </c>
      <c r="I103">
        <v>26400</v>
      </c>
      <c r="J103">
        <v>26400</v>
      </c>
      <c r="K103" t="s">
        <v>31</v>
      </c>
      <c r="L103" t="s">
        <v>22</v>
      </c>
      <c r="M103" t="b">
        <v>0</v>
      </c>
      <c r="N103" t="s">
        <v>23</v>
      </c>
    </row>
    <row r="104" spans="1:14" x14ac:dyDescent="0.35">
      <c r="A104" t="s">
        <v>246</v>
      </c>
      <c r="B104" t="s">
        <v>243</v>
      </c>
      <c r="C104" t="s">
        <v>50</v>
      </c>
      <c r="D104" t="s">
        <v>51</v>
      </c>
      <c r="E104" t="s">
        <v>36</v>
      </c>
      <c r="F104" t="s">
        <v>37</v>
      </c>
      <c r="G104" t="s">
        <v>20</v>
      </c>
      <c r="H104">
        <v>2</v>
      </c>
      <c r="I104">
        <v>41200</v>
      </c>
      <c r="J104">
        <v>82400</v>
      </c>
      <c r="K104" t="s">
        <v>70</v>
      </c>
      <c r="L104" t="s">
        <v>47</v>
      </c>
      <c r="M104" t="b">
        <v>0</v>
      </c>
      <c r="N104" t="s">
        <v>33</v>
      </c>
    </row>
    <row r="105" spans="1:14" x14ac:dyDescent="0.35">
      <c r="A105" t="s">
        <v>247</v>
      </c>
      <c r="B105" t="s">
        <v>87</v>
      </c>
      <c r="C105" t="s">
        <v>42</v>
      </c>
      <c r="D105" t="s">
        <v>43</v>
      </c>
      <c r="E105" t="s">
        <v>52</v>
      </c>
      <c r="F105" t="s">
        <v>53</v>
      </c>
      <c r="G105" t="s">
        <v>30</v>
      </c>
      <c r="H105">
        <v>3</v>
      </c>
      <c r="I105">
        <v>8600</v>
      </c>
      <c r="J105">
        <v>25800</v>
      </c>
      <c r="K105" t="s">
        <v>70</v>
      </c>
      <c r="L105" t="s">
        <v>88</v>
      </c>
      <c r="M105" t="b">
        <v>0</v>
      </c>
      <c r="N105" t="s">
        <v>23</v>
      </c>
    </row>
    <row r="106" spans="1:14" x14ac:dyDescent="0.35">
      <c r="A106" t="s">
        <v>248</v>
      </c>
      <c r="B106" t="s">
        <v>249</v>
      </c>
      <c r="C106" t="s">
        <v>26</v>
      </c>
      <c r="D106" t="s">
        <v>27</v>
      </c>
      <c r="E106" t="s">
        <v>52</v>
      </c>
      <c r="F106" t="s">
        <v>53</v>
      </c>
      <c r="G106" t="s">
        <v>30</v>
      </c>
      <c r="H106">
        <v>1</v>
      </c>
      <c r="I106">
        <v>8700</v>
      </c>
      <c r="J106">
        <v>8700</v>
      </c>
      <c r="K106" t="s">
        <v>70</v>
      </c>
      <c r="L106" t="s">
        <v>22</v>
      </c>
      <c r="M106" t="b">
        <v>0</v>
      </c>
      <c r="N106" t="s">
        <v>23</v>
      </c>
    </row>
    <row r="107" spans="1:14" x14ac:dyDescent="0.35">
      <c r="A107" t="s">
        <v>250</v>
      </c>
      <c r="B107" t="s">
        <v>161</v>
      </c>
      <c r="C107" t="s">
        <v>73</v>
      </c>
      <c r="D107" t="s">
        <v>43</v>
      </c>
      <c r="E107" t="s">
        <v>60</v>
      </c>
      <c r="F107" t="s">
        <v>53</v>
      </c>
      <c r="G107" t="s">
        <v>30</v>
      </c>
      <c r="H107">
        <v>4</v>
      </c>
      <c r="I107">
        <v>7200</v>
      </c>
      <c r="J107">
        <v>28800</v>
      </c>
      <c r="K107" t="s">
        <v>21</v>
      </c>
      <c r="L107" t="s">
        <v>32</v>
      </c>
      <c r="M107" t="b">
        <v>1</v>
      </c>
      <c r="N107" t="s">
        <v>23</v>
      </c>
    </row>
    <row r="108" spans="1:14" x14ac:dyDescent="0.35">
      <c r="A108" t="s">
        <v>251</v>
      </c>
      <c r="B108" t="s">
        <v>167</v>
      </c>
      <c r="C108" t="s">
        <v>73</v>
      </c>
      <c r="D108" t="s">
        <v>43</v>
      </c>
      <c r="E108" t="s">
        <v>80</v>
      </c>
      <c r="F108" t="s">
        <v>81</v>
      </c>
      <c r="G108" t="s">
        <v>30</v>
      </c>
      <c r="H108">
        <v>1</v>
      </c>
      <c r="I108">
        <v>12500</v>
      </c>
      <c r="J108">
        <v>12500</v>
      </c>
      <c r="K108" t="s">
        <v>31</v>
      </c>
      <c r="L108" t="s">
        <v>109</v>
      </c>
      <c r="M108" t="b">
        <v>1</v>
      </c>
      <c r="N108" t="s">
        <v>23</v>
      </c>
    </row>
    <row r="109" spans="1:14" x14ac:dyDescent="0.35">
      <c r="A109" t="s">
        <v>252</v>
      </c>
      <c r="B109" t="s">
        <v>253</v>
      </c>
      <c r="C109" t="s">
        <v>65</v>
      </c>
      <c r="D109" t="s">
        <v>27</v>
      </c>
      <c r="E109" t="s">
        <v>60</v>
      </c>
      <c r="F109" t="s">
        <v>53</v>
      </c>
      <c r="G109" t="s">
        <v>20</v>
      </c>
      <c r="H109">
        <v>2</v>
      </c>
      <c r="I109">
        <v>7100</v>
      </c>
      <c r="J109">
        <v>14200</v>
      </c>
      <c r="K109" t="s">
        <v>31</v>
      </c>
      <c r="L109" t="s">
        <v>22</v>
      </c>
      <c r="M109" t="b">
        <v>0</v>
      </c>
      <c r="N109" t="s">
        <v>23</v>
      </c>
    </row>
    <row r="110" spans="1:14" x14ac:dyDescent="0.35">
      <c r="A110" t="s">
        <v>254</v>
      </c>
      <c r="B110" t="s">
        <v>255</v>
      </c>
      <c r="C110" t="s">
        <v>50</v>
      </c>
      <c r="D110" t="s">
        <v>51</v>
      </c>
      <c r="E110" t="s">
        <v>18</v>
      </c>
      <c r="F110" t="s">
        <v>19</v>
      </c>
      <c r="G110" t="s">
        <v>30</v>
      </c>
      <c r="H110">
        <v>2</v>
      </c>
      <c r="I110">
        <v>21200</v>
      </c>
      <c r="J110">
        <v>42400</v>
      </c>
      <c r="K110" t="s">
        <v>70</v>
      </c>
      <c r="L110" t="s">
        <v>22</v>
      </c>
      <c r="M110" t="b">
        <v>0</v>
      </c>
      <c r="N110" t="s">
        <v>23</v>
      </c>
    </row>
    <row r="111" spans="1:14" x14ac:dyDescent="0.35">
      <c r="A111" t="s">
        <v>256</v>
      </c>
      <c r="B111" t="s">
        <v>257</v>
      </c>
      <c r="C111" t="s">
        <v>26</v>
      </c>
      <c r="D111" t="s">
        <v>27</v>
      </c>
      <c r="E111" t="s">
        <v>60</v>
      </c>
      <c r="F111" t="s">
        <v>53</v>
      </c>
      <c r="G111" t="s">
        <v>30</v>
      </c>
      <c r="H111">
        <v>1</v>
      </c>
      <c r="I111">
        <v>7200</v>
      </c>
      <c r="J111">
        <v>7200</v>
      </c>
      <c r="K111" t="s">
        <v>54</v>
      </c>
      <c r="L111" t="s">
        <v>88</v>
      </c>
      <c r="M111" t="b">
        <v>0</v>
      </c>
      <c r="N111" t="s">
        <v>23</v>
      </c>
    </row>
    <row r="112" spans="1:14" x14ac:dyDescent="0.35">
      <c r="A112" t="s">
        <v>258</v>
      </c>
      <c r="B112" t="s">
        <v>174</v>
      </c>
      <c r="C112" t="s">
        <v>26</v>
      </c>
      <c r="D112" t="s">
        <v>27</v>
      </c>
      <c r="E112" t="s">
        <v>36</v>
      </c>
      <c r="F112" t="s">
        <v>37</v>
      </c>
      <c r="G112" t="s">
        <v>20</v>
      </c>
      <c r="H112">
        <v>3</v>
      </c>
      <c r="I112">
        <v>44600</v>
      </c>
      <c r="J112">
        <v>133800</v>
      </c>
      <c r="K112" t="s">
        <v>31</v>
      </c>
      <c r="L112" t="s">
        <v>39</v>
      </c>
      <c r="M112" t="b">
        <v>0</v>
      </c>
      <c r="N112" t="s">
        <v>33</v>
      </c>
    </row>
    <row r="113" spans="1:14" x14ac:dyDescent="0.35">
      <c r="A113" t="s">
        <v>259</v>
      </c>
      <c r="B113" t="s">
        <v>260</v>
      </c>
      <c r="C113" t="s">
        <v>16</v>
      </c>
      <c r="D113" t="s">
        <v>17</v>
      </c>
      <c r="E113" t="s">
        <v>80</v>
      </c>
      <c r="F113" t="s">
        <v>81</v>
      </c>
      <c r="G113" t="s">
        <v>30</v>
      </c>
      <c r="H113">
        <v>2</v>
      </c>
      <c r="I113">
        <v>12300</v>
      </c>
      <c r="J113">
        <v>24600</v>
      </c>
      <c r="K113" t="s">
        <v>31</v>
      </c>
      <c r="L113" t="s">
        <v>55</v>
      </c>
      <c r="M113" t="b">
        <v>0</v>
      </c>
      <c r="N113" t="s">
        <v>23</v>
      </c>
    </row>
    <row r="114" spans="1:14" x14ac:dyDescent="0.35">
      <c r="A114" t="s">
        <v>261</v>
      </c>
      <c r="B114" t="s">
        <v>262</v>
      </c>
      <c r="C114" t="s">
        <v>26</v>
      </c>
      <c r="D114" t="s">
        <v>27</v>
      </c>
      <c r="E114" t="s">
        <v>74</v>
      </c>
      <c r="F114" t="s">
        <v>75</v>
      </c>
      <c r="G114" t="s">
        <v>20</v>
      </c>
      <c r="H114">
        <v>2</v>
      </c>
      <c r="I114">
        <v>4200</v>
      </c>
      <c r="J114">
        <v>8400</v>
      </c>
      <c r="K114" t="s">
        <v>46</v>
      </c>
      <c r="L114" t="s">
        <v>39</v>
      </c>
      <c r="M114" t="b">
        <v>0</v>
      </c>
      <c r="N114" t="s">
        <v>23</v>
      </c>
    </row>
    <row r="115" spans="1:14" x14ac:dyDescent="0.35">
      <c r="A115" t="s">
        <v>263</v>
      </c>
      <c r="B115" t="s">
        <v>264</v>
      </c>
      <c r="C115" t="s">
        <v>16</v>
      </c>
      <c r="D115" t="s">
        <v>17</v>
      </c>
      <c r="E115" t="s">
        <v>120</v>
      </c>
      <c r="F115" t="s">
        <v>45</v>
      </c>
      <c r="G115" t="s">
        <v>20</v>
      </c>
      <c r="H115">
        <v>1</v>
      </c>
      <c r="I115">
        <v>51500</v>
      </c>
      <c r="J115">
        <v>51500</v>
      </c>
      <c r="K115" t="s">
        <v>54</v>
      </c>
      <c r="L115" t="s">
        <v>32</v>
      </c>
      <c r="M115" t="b">
        <v>1</v>
      </c>
      <c r="N115" t="s">
        <v>33</v>
      </c>
    </row>
    <row r="116" spans="1:14" x14ac:dyDescent="0.35">
      <c r="A116" t="s">
        <v>265</v>
      </c>
      <c r="B116" t="s">
        <v>156</v>
      </c>
      <c r="C116" t="s">
        <v>73</v>
      </c>
      <c r="D116" t="s">
        <v>43</v>
      </c>
      <c r="E116" t="s">
        <v>102</v>
      </c>
      <c r="F116" t="s">
        <v>29</v>
      </c>
      <c r="G116" t="s">
        <v>20</v>
      </c>
      <c r="H116">
        <v>2</v>
      </c>
      <c r="I116">
        <v>31000</v>
      </c>
      <c r="J116">
        <v>62000</v>
      </c>
      <c r="K116" t="s">
        <v>21</v>
      </c>
      <c r="L116" t="s">
        <v>55</v>
      </c>
      <c r="M116" t="b">
        <v>0</v>
      </c>
      <c r="N116" t="s">
        <v>33</v>
      </c>
    </row>
    <row r="117" spans="1:14" x14ac:dyDescent="0.35">
      <c r="A117" t="s">
        <v>266</v>
      </c>
      <c r="B117" t="s">
        <v>267</v>
      </c>
      <c r="C117" t="s">
        <v>67</v>
      </c>
      <c r="D117" t="s">
        <v>59</v>
      </c>
      <c r="E117" t="s">
        <v>52</v>
      </c>
      <c r="F117" t="s">
        <v>53</v>
      </c>
      <c r="G117" t="s">
        <v>30</v>
      </c>
      <c r="H117">
        <v>1</v>
      </c>
      <c r="I117">
        <v>7900</v>
      </c>
      <c r="J117">
        <v>7900</v>
      </c>
      <c r="K117" t="s">
        <v>46</v>
      </c>
      <c r="L117" t="s">
        <v>22</v>
      </c>
      <c r="M117" t="b">
        <v>0</v>
      </c>
      <c r="N117" t="s">
        <v>23</v>
      </c>
    </row>
    <row r="118" spans="1:14" x14ac:dyDescent="0.35">
      <c r="A118" t="s">
        <v>268</v>
      </c>
      <c r="B118" t="s">
        <v>245</v>
      </c>
      <c r="C118" t="s">
        <v>26</v>
      </c>
      <c r="D118" t="s">
        <v>27</v>
      </c>
      <c r="E118" t="s">
        <v>74</v>
      </c>
      <c r="F118" t="s">
        <v>75</v>
      </c>
      <c r="G118" t="s">
        <v>30</v>
      </c>
      <c r="H118">
        <v>1</v>
      </c>
      <c r="I118">
        <v>4300</v>
      </c>
      <c r="J118">
        <v>4300</v>
      </c>
      <c r="K118" t="s">
        <v>31</v>
      </c>
      <c r="L118" t="s">
        <v>22</v>
      </c>
      <c r="M118" t="b">
        <v>0</v>
      </c>
      <c r="N118" t="s">
        <v>23</v>
      </c>
    </row>
    <row r="119" spans="1:14" x14ac:dyDescent="0.35">
      <c r="A119" t="s">
        <v>269</v>
      </c>
      <c r="B119" t="s">
        <v>270</v>
      </c>
      <c r="C119" t="s">
        <v>16</v>
      </c>
      <c r="D119" t="s">
        <v>17</v>
      </c>
      <c r="E119" t="s">
        <v>36</v>
      </c>
      <c r="F119" t="s">
        <v>37</v>
      </c>
      <c r="G119" t="s">
        <v>20</v>
      </c>
      <c r="H119">
        <v>1</v>
      </c>
      <c r="I119">
        <v>40200</v>
      </c>
      <c r="J119">
        <v>40200</v>
      </c>
      <c r="K119" t="s">
        <v>54</v>
      </c>
      <c r="L119" t="s">
        <v>55</v>
      </c>
      <c r="M119" t="b">
        <v>0</v>
      </c>
      <c r="N119" t="s">
        <v>33</v>
      </c>
    </row>
    <row r="120" spans="1:14" x14ac:dyDescent="0.35">
      <c r="A120" t="s">
        <v>271</v>
      </c>
      <c r="B120" t="s">
        <v>272</v>
      </c>
      <c r="C120" t="s">
        <v>67</v>
      </c>
      <c r="D120" t="s">
        <v>59</v>
      </c>
      <c r="E120" t="s">
        <v>36</v>
      </c>
      <c r="F120" t="s">
        <v>37</v>
      </c>
      <c r="G120" t="s">
        <v>30</v>
      </c>
      <c r="H120">
        <v>1</v>
      </c>
      <c r="I120">
        <v>41800</v>
      </c>
      <c r="J120">
        <v>41800</v>
      </c>
      <c r="K120" t="s">
        <v>21</v>
      </c>
      <c r="L120" t="s">
        <v>109</v>
      </c>
      <c r="M120" t="b">
        <v>1</v>
      </c>
      <c r="N120" t="s">
        <v>33</v>
      </c>
    </row>
    <row r="121" spans="1:14" x14ac:dyDescent="0.35">
      <c r="A121" t="s">
        <v>273</v>
      </c>
      <c r="B121" t="s">
        <v>274</v>
      </c>
      <c r="C121" t="s">
        <v>67</v>
      </c>
      <c r="D121" t="s">
        <v>59</v>
      </c>
      <c r="E121" t="s">
        <v>74</v>
      </c>
      <c r="F121" t="s">
        <v>75</v>
      </c>
      <c r="G121" t="s">
        <v>20</v>
      </c>
      <c r="H121">
        <v>1</v>
      </c>
      <c r="I121">
        <v>4400</v>
      </c>
      <c r="J121">
        <v>4400</v>
      </c>
      <c r="K121" t="s">
        <v>54</v>
      </c>
      <c r="L121" t="s">
        <v>109</v>
      </c>
      <c r="M121" t="b">
        <v>1</v>
      </c>
      <c r="N121" t="s">
        <v>23</v>
      </c>
    </row>
    <row r="122" spans="1:14" x14ac:dyDescent="0.35">
      <c r="A122" t="s">
        <v>275</v>
      </c>
      <c r="B122" t="s">
        <v>115</v>
      </c>
      <c r="C122" t="s">
        <v>16</v>
      </c>
      <c r="D122" t="s">
        <v>17</v>
      </c>
      <c r="E122" t="s">
        <v>18</v>
      </c>
      <c r="F122" t="s">
        <v>19</v>
      </c>
      <c r="G122" t="s">
        <v>20</v>
      </c>
      <c r="H122">
        <v>3</v>
      </c>
      <c r="I122">
        <v>20500</v>
      </c>
      <c r="J122">
        <v>61500</v>
      </c>
      <c r="K122" t="s">
        <v>46</v>
      </c>
      <c r="L122" t="s">
        <v>32</v>
      </c>
      <c r="M122" t="b">
        <v>1</v>
      </c>
      <c r="N122" t="s">
        <v>23</v>
      </c>
    </row>
    <row r="123" spans="1:14" x14ac:dyDescent="0.35">
      <c r="A123" t="s">
        <v>276</v>
      </c>
      <c r="B123" t="s">
        <v>57</v>
      </c>
      <c r="C123" t="s">
        <v>50</v>
      </c>
      <c r="D123" t="s">
        <v>51</v>
      </c>
      <c r="E123" t="s">
        <v>120</v>
      </c>
      <c r="F123" t="s">
        <v>45</v>
      </c>
      <c r="G123" t="s">
        <v>20</v>
      </c>
      <c r="H123">
        <v>2</v>
      </c>
      <c r="I123">
        <v>54100</v>
      </c>
      <c r="J123">
        <v>108200</v>
      </c>
      <c r="K123" t="s">
        <v>31</v>
      </c>
      <c r="L123" t="s">
        <v>55</v>
      </c>
      <c r="M123" t="b">
        <v>0</v>
      </c>
      <c r="N123" t="s">
        <v>33</v>
      </c>
    </row>
    <row r="124" spans="1:14" x14ac:dyDescent="0.35">
      <c r="A124" t="s">
        <v>277</v>
      </c>
      <c r="B124" t="s">
        <v>264</v>
      </c>
      <c r="C124" t="s">
        <v>42</v>
      </c>
      <c r="D124" t="s">
        <v>43</v>
      </c>
      <c r="E124" t="s">
        <v>74</v>
      </c>
      <c r="F124" t="s">
        <v>75</v>
      </c>
      <c r="G124" t="s">
        <v>20</v>
      </c>
      <c r="H124">
        <v>1</v>
      </c>
      <c r="I124">
        <v>4800</v>
      </c>
      <c r="J124">
        <v>4800</v>
      </c>
      <c r="K124" t="s">
        <v>54</v>
      </c>
      <c r="L124" t="s">
        <v>32</v>
      </c>
      <c r="M124" t="b">
        <v>1</v>
      </c>
      <c r="N124" t="s">
        <v>23</v>
      </c>
    </row>
    <row r="125" spans="1:14" x14ac:dyDescent="0.35">
      <c r="A125" t="s">
        <v>278</v>
      </c>
      <c r="B125" t="s">
        <v>79</v>
      </c>
      <c r="C125" t="s">
        <v>42</v>
      </c>
      <c r="D125" t="s">
        <v>43</v>
      </c>
      <c r="E125" t="s">
        <v>97</v>
      </c>
      <c r="F125" t="s">
        <v>29</v>
      </c>
      <c r="G125" t="s">
        <v>20</v>
      </c>
      <c r="H125">
        <v>1</v>
      </c>
      <c r="I125">
        <v>33900</v>
      </c>
      <c r="J125">
        <v>33900</v>
      </c>
      <c r="K125" t="s">
        <v>21</v>
      </c>
      <c r="L125" t="s">
        <v>39</v>
      </c>
      <c r="M125" t="b">
        <v>0</v>
      </c>
      <c r="N125" t="s">
        <v>33</v>
      </c>
    </row>
    <row r="126" spans="1:14" x14ac:dyDescent="0.35">
      <c r="A126" t="s">
        <v>279</v>
      </c>
      <c r="B126" t="s">
        <v>264</v>
      </c>
      <c r="C126" t="s">
        <v>26</v>
      </c>
      <c r="D126" t="s">
        <v>27</v>
      </c>
      <c r="E126" t="s">
        <v>80</v>
      </c>
      <c r="F126" t="s">
        <v>81</v>
      </c>
      <c r="G126" t="s">
        <v>30</v>
      </c>
      <c r="H126">
        <v>1</v>
      </c>
      <c r="I126">
        <v>11200</v>
      </c>
      <c r="J126">
        <v>11200</v>
      </c>
      <c r="K126" t="s">
        <v>54</v>
      </c>
      <c r="L126" t="s">
        <v>32</v>
      </c>
      <c r="M126" t="b">
        <v>1</v>
      </c>
      <c r="N126" t="s">
        <v>23</v>
      </c>
    </row>
    <row r="127" spans="1:14" x14ac:dyDescent="0.35">
      <c r="A127" t="s">
        <v>280</v>
      </c>
      <c r="B127" t="s">
        <v>281</v>
      </c>
      <c r="C127" t="s">
        <v>26</v>
      </c>
      <c r="D127" t="s">
        <v>27</v>
      </c>
      <c r="E127" t="s">
        <v>60</v>
      </c>
      <c r="F127" t="s">
        <v>53</v>
      </c>
      <c r="G127" t="s">
        <v>30</v>
      </c>
      <c r="H127">
        <v>1</v>
      </c>
      <c r="I127">
        <v>6700</v>
      </c>
      <c r="J127">
        <v>6700</v>
      </c>
      <c r="K127" t="s">
        <v>46</v>
      </c>
      <c r="L127" t="s">
        <v>55</v>
      </c>
      <c r="M127" t="b">
        <v>0</v>
      </c>
      <c r="N127" t="s">
        <v>23</v>
      </c>
    </row>
    <row r="128" spans="1:14" x14ac:dyDescent="0.35">
      <c r="A128" t="s">
        <v>282</v>
      </c>
      <c r="B128" t="s">
        <v>283</v>
      </c>
      <c r="C128" t="s">
        <v>50</v>
      </c>
      <c r="D128" t="s">
        <v>51</v>
      </c>
      <c r="E128" t="s">
        <v>97</v>
      </c>
      <c r="F128" t="s">
        <v>29</v>
      </c>
      <c r="G128" t="s">
        <v>20</v>
      </c>
      <c r="H128">
        <v>2</v>
      </c>
      <c r="I128">
        <v>30000</v>
      </c>
      <c r="J128">
        <v>60000</v>
      </c>
      <c r="K128" t="s">
        <v>21</v>
      </c>
      <c r="L128" t="s">
        <v>88</v>
      </c>
      <c r="M128" t="b">
        <v>0</v>
      </c>
      <c r="N128" t="s">
        <v>33</v>
      </c>
    </row>
    <row r="129" spans="1:14" x14ac:dyDescent="0.35">
      <c r="A129" t="s">
        <v>284</v>
      </c>
      <c r="B129" t="s">
        <v>285</v>
      </c>
      <c r="C129" t="s">
        <v>26</v>
      </c>
      <c r="D129" t="s">
        <v>27</v>
      </c>
      <c r="E129" t="s">
        <v>94</v>
      </c>
      <c r="F129" t="s">
        <v>37</v>
      </c>
      <c r="G129" t="s">
        <v>20</v>
      </c>
      <c r="H129">
        <v>1</v>
      </c>
      <c r="I129">
        <v>18900</v>
      </c>
      <c r="J129">
        <v>18900</v>
      </c>
      <c r="K129" t="s">
        <v>38</v>
      </c>
      <c r="L129" t="s">
        <v>109</v>
      </c>
      <c r="M129" t="b">
        <v>1</v>
      </c>
      <c r="N129" t="s">
        <v>23</v>
      </c>
    </row>
    <row r="130" spans="1:14" x14ac:dyDescent="0.35">
      <c r="A130" t="s">
        <v>286</v>
      </c>
      <c r="B130" t="s">
        <v>287</v>
      </c>
      <c r="C130" t="s">
        <v>65</v>
      </c>
      <c r="D130" t="s">
        <v>27</v>
      </c>
      <c r="E130" t="s">
        <v>28</v>
      </c>
      <c r="F130" t="s">
        <v>29</v>
      </c>
      <c r="G130" t="s">
        <v>30</v>
      </c>
      <c r="H130">
        <v>2</v>
      </c>
      <c r="I130">
        <v>123000</v>
      </c>
      <c r="J130">
        <v>246000</v>
      </c>
      <c r="K130" t="s">
        <v>38</v>
      </c>
      <c r="L130" t="s">
        <v>32</v>
      </c>
      <c r="M130" t="b">
        <v>1</v>
      </c>
      <c r="N130" t="s">
        <v>33</v>
      </c>
    </row>
    <row r="131" spans="1:14" x14ac:dyDescent="0.35">
      <c r="A131" t="s">
        <v>288</v>
      </c>
      <c r="B131" t="s">
        <v>239</v>
      </c>
      <c r="C131" t="s">
        <v>67</v>
      </c>
      <c r="D131" t="s">
        <v>59</v>
      </c>
      <c r="E131" t="s">
        <v>18</v>
      </c>
      <c r="F131" t="s">
        <v>19</v>
      </c>
      <c r="G131" t="s">
        <v>30</v>
      </c>
      <c r="H131">
        <v>1</v>
      </c>
      <c r="I131">
        <v>21800</v>
      </c>
      <c r="J131">
        <v>21800</v>
      </c>
      <c r="K131" t="s">
        <v>21</v>
      </c>
      <c r="L131" t="s">
        <v>22</v>
      </c>
      <c r="M131" t="b">
        <v>0</v>
      </c>
      <c r="N131" t="s">
        <v>23</v>
      </c>
    </row>
    <row r="132" spans="1:14" x14ac:dyDescent="0.35">
      <c r="A132" t="s">
        <v>289</v>
      </c>
      <c r="B132" t="s">
        <v>140</v>
      </c>
      <c r="C132" t="s">
        <v>58</v>
      </c>
      <c r="D132" t="s">
        <v>59</v>
      </c>
      <c r="E132" t="s">
        <v>60</v>
      </c>
      <c r="F132" t="s">
        <v>53</v>
      </c>
      <c r="G132" t="s">
        <v>20</v>
      </c>
      <c r="H132">
        <v>1</v>
      </c>
      <c r="I132">
        <v>7300</v>
      </c>
      <c r="J132">
        <v>7300</v>
      </c>
      <c r="K132" t="s">
        <v>38</v>
      </c>
      <c r="L132" t="s">
        <v>32</v>
      </c>
      <c r="M132" t="b">
        <v>1</v>
      </c>
      <c r="N132" t="s">
        <v>23</v>
      </c>
    </row>
    <row r="133" spans="1:14" x14ac:dyDescent="0.35">
      <c r="A133" t="s">
        <v>290</v>
      </c>
      <c r="B133" t="s">
        <v>291</v>
      </c>
      <c r="C133" t="s">
        <v>16</v>
      </c>
      <c r="D133" t="s">
        <v>17</v>
      </c>
      <c r="E133" t="s">
        <v>102</v>
      </c>
      <c r="F133" t="s">
        <v>29</v>
      </c>
      <c r="G133" t="s">
        <v>30</v>
      </c>
      <c r="H133">
        <v>1</v>
      </c>
      <c r="I133">
        <v>27500</v>
      </c>
      <c r="J133">
        <v>27500</v>
      </c>
      <c r="K133" t="s">
        <v>21</v>
      </c>
      <c r="L133" t="s">
        <v>32</v>
      </c>
      <c r="M133" t="b">
        <v>1</v>
      </c>
      <c r="N133" t="s">
        <v>23</v>
      </c>
    </row>
    <row r="134" spans="1:14" x14ac:dyDescent="0.35">
      <c r="A134" t="s">
        <v>292</v>
      </c>
      <c r="B134" t="s">
        <v>176</v>
      </c>
      <c r="C134" t="s">
        <v>67</v>
      </c>
      <c r="D134" t="s">
        <v>59</v>
      </c>
      <c r="E134" t="s">
        <v>52</v>
      </c>
      <c r="F134" t="s">
        <v>53</v>
      </c>
      <c r="G134" t="s">
        <v>20</v>
      </c>
      <c r="H134">
        <v>1</v>
      </c>
      <c r="I134">
        <v>8800</v>
      </c>
      <c r="J134">
        <v>8800</v>
      </c>
      <c r="K134" t="s">
        <v>70</v>
      </c>
      <c r="L134" t="s">
        <v>55</v>
      </c>
      <c r="M134" t="b">
        <v>0</v>
      </c>
      <c r="N134" t="s">
        <v>23</v>
      </c>
    </row>
    <row r="135" spans="1:14" x14ac:dyDescent="0.35">
      <c r="A135" t="s">
        <v>293</v>
      </c>
      <c r="B135" t="s">
        <v>188</v>
      </c>
      <c r="C135" t="s">
        <v>50</v>
      </c>
      <c r="D135" t="s">
        <v>51</v>
      </c>
      <c r="E135" t="s">
        <v>36</v>
      </c>
      <c r="F135" t="s">
        <v>37</v>
      </c>
      <c r="G135" t="s">
        <v>30</v>
      </c>
      <c r="H135">
        <v>4</v>
      </c>
      <c r="I135">
        <v>38800</v>
      </c>
      <c r="J135">
        <v>155200</v>
      </c>
      <c r="K135" t="s">
        <v>31</v>
      </c>
      <c r="L135" t="s">
        <v>39</v>
      </c>
      <c r="M135" t="b">
        <v>0</v>
      </c>
      <c r="N135" t="s">
        <v>33</v>
      </c>
    </row>
    <row r="136" spans="1:14" x14ac:dyDescent="0.35">
      <c r="A136" t="s">
        <v>294</v>
      </c>
      <c r="B136" t="s">
        <v>25</v>
      </c>
      <c r="C136" t="s">
        <v>42</v>
      </c>
      <c r="D136" t="s">
        <v>43</v>
      </c>
      <c r="E136" t="s">
        <v>97</v>
      </c>
      <c r="F136" t="s">
        <v>29</v>
      </c>
      <c r="G136" t="s">
        <v>30</v>
      </c>
      <c r="H136">
        <v>1</v>
      </c>
      <c r="I136">
        <v>30800</v>
      </c>
      <c r="J136">
        <v>30800</v>
      </c>
      <c r="K136" t="s">
        <v>31</v>
      </c>
      <c r="L136" t="s">
        <v>32</v>
      </c>
      <c r="M136" t="b">
        <v>1</v>
      </c>
      <c r="N136" t="s">
        <v>33</v>
      </c>
    </row>
    <row r="137" spans="1:14" x14ac:dyDescent="0.35">
      <c r="A137" t="s">
        <v>295</v>
      </c>
      <c r="B137" t="s">
        <v>159</v>
      </c>
      <c r="C137" t="s">
        <v>58</v>
      </c>
      <c r="D137" t="s">
        <v>59</v>
      </c>
      <c r="E137" t="s">
        <v>52</v>
      </c>
      <c r="F137" t="s">
        <v>53</v>
      </c>
      <c r="G137" t="s">
        <v>30</v>
      </c>
      <c r="H137">
        <v>1</v>
      </c>
      <c r="I137">
        <v>8000</v>
      </c>
      <c r="J137">
        <v>8000</v>
      </c>
      <c r="K137" t="s">
        <v>38</v>
      </c>
      <c r="L137" t="s">
        <v>32</v>
      </c>
      <c r="M137" t="b">
        <v>1</v>
      </c>
      <c r="N137" t="s">
        <v>23</v>
      </c>
    </row>
    <row r="138" spans="1:14" x14ac:dyDescent="0.35">
      <c r="A138" t="s">
        <v>296</v>
      </c>
      <c r="B138" t="s">
        <v>297</v>
      </c>
      <c r="C138" t="s">
        <v>42</v>
      </c>
      <c r="D138" t="s">
        <v>43</v>
      </c>
      <c r="E138" t="s">
        <v>80</v>
      </c>
      <c r="F138" t="s">
        <v>81</v>
      </c>
      <c r="G138" t="s">
        <v>20</v>
      </c>
      <c r="H138">
        <v>1</v>
      </c>
      <c r="I138">
        <v>12900</v>
      </c>
      <c r="J138">
        <v>12900</v>
      </c>
      <c r="K138" t="s">
        <v>70</v>
      </c>
      <c r="L138" t="s">
        <v>109</v>
      </c>
      <c r="M138" t="b">
        <v>1</v>
      </c>
      <c r="N138" t="s">
        <v>23</v>
      </c>
    </row>
    <row r="139" spans="1:14" x14ac:dyDescent="0.35">
      <c r="A139" t="s">
        <v>298</v>
      </c>
      <c r="B139" t="s">
        <v>186</v>
      </c>
      <c r="C139" t="s">
        <v>42</v>
      </c>
      <c r="D139" t="s">
        <v>43</v>
      </c>
      <c r="E139" t="s">
        <v>80</v>
      </c>
      <c r="F139" t="s">
        <v>81</v>
      </c>
      <c r="G139" t="s">
        <v>30</v>
      </c>
      <c r="H139">
        <v>3</v>
      </c>
      <c r="I139">
        <v>11900</v>
      </c>
      <c r="J139">
        <v>35700</v>
      </c>
      <c r="K139" t="s">
        <v>38</v>
      </c>
      <c r="L139" t="s">
        <v>109</v>
      </c>
      <c r="M139" t="b">
        <v>1</v>
      </c>
      <c r="N139" t="s">
        <v>23</v>
      </c>
    </row>
    <row r="140" spans="1:14" x14ac:dyDescent="0.35">
      <c r="A140" t="s">
        <v>299</v>
      </c>
      <c r="B140" t="s">
        <v>300</v>
      </c>
      <c r="C140" t="s">
        <v>58</v>
      </c>
      <c r="D140" t="s">
        <v>59</v>
      </c>
      <c r="E140" t="s">
        <v>80</v>
      </c>
      <c r="F140" t="s">
        <v>81</v>
      </c>
      <c r="G140" t="s">
        <v>30</v>
      </c>
      <c r="H140">
        <v>1</v>
      </c>
      <c r="I140">
        <v>11500</v>
      </c>
      <c r="J140">
        <v>11500</v>
      </c>
      <c r="K140" t="s">
        <v>46</v>
      </c>
      <c r="L140" t="s">
        <v>39</v>
      </c>
      <c r="M140" t="b">
        <v>0</v>
      </c>
      <c r="N140" t="s">
        <v>23</v>
      </c>
    </row>
    <row r="141" spans="1:14" x14ac:dyDescent="0.35">
      <c r="A141" t="s">
        <v>301</v>
      </c>
      <c r="B141" t="s">
        <v>174</v>
      </c>
      <c r="C141" t="s">
        <v>50</v>
      </c>
      <c r="D141" t="s">
        <v>51</v>
      </c>
      <c r="E141" t="s">
        <v>97</v>
      </c>
      <c r="F141" t="s">
        <v>29</v>
      </c>
      <c r="G141" t="s">
        <v>30</v>
      </c>
      <c r="H141">
        <v>1</v>
      </c>
      <c r="I141">
        <v>34300</v>
      </c>
      <c r="J141">
        <v>34300</v>
      </c>
      <c r="K141" t="s">
        <v>31</v>
      </c>
      <c r="L141" t="s">
        <v>39</v>
      </c>
      <c r="M141" t="b">
        <v>0</v>
      </c>
      <c r="N141" t="s">
        <v>33</v>
      </c>
    </row>
    <row r="142" spans="1:14" x14ac:dyDescent="0.35">
      <c r="A142" t="s">
        <v>302</v>
      </c>
      <c r="B142" t="s">
        <v>220</v>
      </c>
      <c r="C142" t="s">
        <v>16</v>
      </c>
      <c r="D142" t="s">
        <v>17</v>
      </c>
      <c r="E142" t="s">
        <v>52</v>
      </c>
      <c r="F142" t="s">
        <v>53</v>
      </c>
      <c r="G142" t="s">
        <v>20</v>
      </c>
      <c r="H142">
        <v>2</v>
      </c>
      <c r="I142">
        <v>8900</v>
      </c>
      <c r="J142">
        <v>17800</v>
      </c>
      <c r="K142" t="s">
        <v>70</v>
      </c>
      <c r="L142" t="s">
        <v>109</v>
      </c>
      <c r="M142" t="b">
        <v>1</v>
      </c>
      <c r="N142" t="s">
        <v>23</v>
      </c>
    </row>
    <row r="143" spans="1:14" x14ac:dyDescent="0.35">
      <c r="A143" t="s">
        <v>303</v>
      </c>
      <c r="B143" t="s">
        <v>140</v>
      </c>
      <c r="C143" t="s">
        <v>50</v>
      </c>
      <c r="D143" t="s">
        <v>51</v>
      </c>
      <c r="E143" t="s">
        <v>120</v>
      </c>
      <c r="F143" t="s">
        <v>45</v>
      </c>
      <c r="G143" t="s">
        <v>30</v>
      </c>
      <c r="H143">
        <v>1</v>
      </c>
      <c r="I143">
        <v>49900</v>
      </c>
      <c r="J143">
        <v>49900</v>
      </c>
      <c r="K143" t="s">
        <v>38</v>
      </c>
      <c r="L143" t="s">
        <v>32</v>
      </c>
      <c r="M143" t="b">
        <v>1</v>
      </c>
      <c r="N143" t="s">
        <v>33</v>
      </c>
    </row>
    <row r="144" spans="1:14" x14ac:dyDescent="0.35">
      <c r="A144" t="s">
        <v>304</v>
      </c>
      <c r="B144" t="s">
        <v>305</v>
      </c>
      <c r="C144" t="s">
        <v>58</v>
      </c>
      <c r="D144" t="s">
        <v>59</v>
      </c>
      <c r="E144" t="s">
        <v>44</v>
      </c>
      <c r="F144" t="s">
        <v>45</v>
      </c>
      <c r="G144" t="s">
        <v>20</v>
      </c>
      <c r="H144">
        <v>1</v>
      </c>
      <c r="I144">
        <v>27000</v>
      </c>
      <c r="J144">
        <v>27000</v>
      </c>
      <c r="K144" t="s">
        <v>21</v>
      </c>
      <c r="L144" t="s">
        <v>55</v>
      </c>
      <c r="M144" t="b">
        <v>0</v>
      </c>
      <c r="N144" t="s">
        <v>23</v>
      </c>
    </row>
    <row r="145" spans="1:14" x14ac:dyDescent="0.35">
      <c r="A145" t="s">
        <v>306</v>
      </c>
      <c r="B145" t="s">
        <v>307</v>
      </c>
      <c r="C145" t="s">
        <v>16</v>
      </c>
      <c r="D145" t="s">
        <v>17</v>
      </c>
      <c r="E145" t="s">
        <v>52</v>
      </c>
      <c r="F145" t="s">
        <v>53</v>
      </c>
      <c r="G145" t="s">
        <v>30</v>
      </c>
      <c r="H145">
        <v>3</v>
      </c>
      <c r="I145">
        <v>8600</v>
      </c>
      <c r="J145">
        <v>25800</v>
      </c>
      <c r="K145" t="s">
        <v>31</v>
      </c>
      <c r="L145" t="s">
        <v>88</v>
      </c>
      <c r="M145" t="b">
        <v>0</v>
      </c>
      <c r="N145" t="s">
        <v>23</v>
      </c>
    </row>
    <row r="146" spans="1:14" x14ac:dyDescent="0.35">
      <c r="A146" t="s">
        <v>308</v>
      </c>
      <c r="B146" t="s">
        <v>182</v>
      </c>
      <c r="C146" t="s">
        <v>50</v>
      </c>
      <c r="D146" t="s">
        <v>51</v>
      </c>
      <c r="E146" t="s">
        <v>28</v>
      </c>
      <c r="F146" t="s">
        <v>29</v>
      </c>
      <c r="G146" t="s">
        <v>20</v>
      </c>
      <c r="H146">
        <v>1</v>
      </c>
      <c r="I146">
        <v>120700</v>
      </c>
      <c r="J146">
        <v>120700</v>
      </c>
      <c r="K146" t="s">
        <v>38</v>
      </c>
      <c r="L146" t="s">
        <v>39</v>
      </c>
      <c r="M146" t="b">
        <v>0</v>
      </c>
      <c r="N146" t="s">
        <v>33</v>
      </c>
    </row>
    <row r="147" spans="1:14" x14ac:dyDescent="0.35">
      <c r="A147" t="s">
        <v>309</v>
      </c>
      <c r="B147" t="s">
        <v>310</v>
      </c>
      <c r="C147" t="s">
        <v>26</v>
      </c>
      <c r="D147" t="s">
        <v>27</v>
      </c>
      <c r="E147" t="s">
        <v>74</v>
      </c>
      <c r="F147" t="s">
        <v>75</v>
      </c>
      <c r="G147" t="s">
        <v>30</v>
      </c>
      <c r="H147">
        <v>1</v>
      </c>
      <c r="I147">
        <v>4600</v>
      </c>
      <c r="J147">
        <v>4600</v>
      </c>
      <c r="K147" t="s">
        <v>54</v>
      </c>
      <c r="L147" t="s">
        <v>109</v>
      </c>
      <c r="M147" t="b">
        <v>1</v>
      </c>
      <c r="N147" t="s">
        <v>23</v>
      </c>
    </row>
    <row r="148" spans="1:14" x14ac:dyDescent="0.35">
      <c r="A148" t="s">
        <v>311</v>
      </c>
      <c r="B148" t="s">
        <v>312</v>
      </c>
      <c r="C148" t="s">
        <v>16</v>
      </c>
      <c r="D148" t="s">
        <v>17</v>
      </c>
      <c r="E148" t="s">
        <v>120</v>
      </c>
      <c r="F148" t="s">
        <v>45</v>
      </c>
      <c r="G148" t="s">
        <v>30</v>
      </c>
      <c r="H148">
        <v>1</v>
      </c>
      <c r="I148">
        <v>57800</v>
      </c>
      <c r="J148">
        <v>57800</v>
      </c>
      <c r="K148" t="s">
        <v>54</v>
      </c>
      <c r="L148" t="s">
        <v>32</v>
      </c>
      <c r="M148" t="b">
        <v>1</v>
      </c>
      <c r="N148" t="s">
        <v>33</v>
      </c>
    </row>
    <row r="149" spans="1:14" x14ac:dyDescent="0.35">
      <c r="A149" t="s">
        <v>313</v>
      </c>
      <c r="B149" t="s">
        <v>152</v>
      </c>
      <c r="C149" t="s">
        <v>42</v>
      </c>
      <c r="D149" t="s">
        <v>43</v>
      </c>
      <c r="E149" t="s">
        <v>102</v>
      </c>
      <c r="F149" t="s">
        <v>29</v>
      </c>
      <c r="G149" t="s">
        <v>30</v>
      </c>
      <c r="H149">
        <v>1</v>
      </c>
      <c r="I149">
        <v>28200</v>
      </c>
      <c r="J149">
        <v>28200</v>
      </c>
      <c r="K149" t="s">
        <v>54</v>
      </c>
      <c r="L149" t="s">
        <v>39</v>
      </c>
      <c r="M149" t="b">
        <v>0</v>
      </c>
      <c r="N149" t="s">
        <v>33</v>
      </c>
    </row>
    <row r="150" spans="1:14" x14ac:dyDescent="0.35">
      <c r="A150" t="s">
        <v>314</v>
      </c>
      <c r="B150" t="s">
        <v>315</v>
      </c>
      <c r="C150" t="s">
        <v>73</v>
      </c>
      <c r="D150" t="s">
        <v>43</v>
      </c>
      <c r="E150" t="s">
        <v>102</v>
      </c>
      <c r="F150" t="s">
        <v>29</v>
      </c>
      <c r="G150" t="s">
        <v>30</v>
      </c>
      <c r="H150">
        <v>1</v>
      </c>
      <c r="I150">
        <v>27500</v>
      </c>
      <c r="J150">
        <v>27500</v>
      </c>
      <c r="K150" t="s">
        <v>54</v>
      </c>
      <c r="L150" t="s">
        <v>22</v>
      </c>
      <c r="M150" t="b">
        <v>0</v>
      </c>
      <c r="N150" t="s">
        <v>23</v>
      </c>
    </row>
    <row r="151" spans="1:14" x14ac:dyDescent="0.35">
      <c r="A151" t="s">
        <v>316</v>
      </c>
      <c r="B151" t="s">
        <v>170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>
        <v>2</v>
      </c>
      <c r="I151">
        <v>23300</v>
      </c>
      <c r="J151">
        <v>46600</v>
      </c>
      <c r="K151" t="s">
        <v>46</v>
      </c>
      <c r="L151" t="s">
        <v>109</v>
      </c>
      <c r="M151" t="b">
        <v>1</v>
      </c>
      <c r="N151" t="s">
        <v>23</v>
      </c>
    </row>
    <row r="152" spans="1:14" x14ac:dyDescent="0.35">
      <c r="A152" t="s">
        <v>317</v>
      </c>
      <c r="B152" t="s">
        <v>318</v>
      </c>
      <c r="C152" t="s">
        <v>73</v>
      </c>
      <c r="D152" t="s">
        <v>43</v>
      </c>
      <c r="E152" t="s">
        <v>102</v>
      </c>
      <c r="F152" t="s">
        <v>29</v>
      </c>
      <c r="G152" t="s">
        <v>20</v>
      </c>
      <c r="H152">
        <v>3</v>
      </c>
      <c r="I152">
        <v>30400</v>
      </c>
      <c r="J152">
        <v>91200</v>
      </c>
      <c r="K152" t="s">
        <v>54</v>
      </c>
      <c r="L152" t="s">
        <v>22</v>
      </c>
      <c r="M152" t="b">
        <v>0</v>
      </c>
      <c r="N152" t="s">
        <v>33</v>
      </c>
    </row>
    <row r="153" spans="1:14" x14ac:dyDescent="0.35">
      <c r="A153" t="s">
        <v>319</v>
      </c>
      <c r="B153" t="s">
        <v>320</v>
      </c>
      <c r="C153" t="s">
        <v>16</v>
      </c>
      <c r="D153" t="s">
        <v>17</v>
      </c>
      <c r="E153" t="s">
        <v>44</v>
      </c>
      <c r="F153" t="s">
        <v>45</v>
      </c>
      <c r="G153" t="s">
        <v>30</v>
      </c>
      <c r="H153">
        <v>3</v>
      </c>
      <c r="I153">
        <v>29400</v>
      </c>
      <c r="J153">
        <v>88200</v>
      </c>
      <c r="K153" t="s">
        <v>46</v>
      </c>
      <c r="L153" t="s">
        <v>47</v>
      </c>
      <c r="M153" t="b">
        <v>0</v>
      </c>
      <c r="N153" t="s">
        <v>33</v>
      </c>
    </row>
    <row r="154" spans="1:14" x14ac:dyDescent="0.35">
      <c r="A154" t="s">
        <v>321</v>
      </c>
      <c r="B154" t="s">
        <v>322</v>
      </c>
      <c r="C154" t="s">
        <v>73</v>
      </c>
      <c r="D154" t="s">
        <v>43</v>
      </c>
      <c r="E154" t="s">
        <v>97</v>
      </c>
      <c r="F154" t="s">
        <v>29</v>
      </c>
      <c r="G154" t="s">
        <v>30</v>
      </c>
      <c r="H154">
        <v>1</v>
      </c>
      <c r="I154">
        <v>33300</v>
      </c>
      <c r="J154">
        <v>33300</v>
      </c>
      <c r="K154" t="s">
        <v>46</v>
      </c>
      <c r="L154" t="s">
        <v>55</v>
      </c>
      <c r="M154" t="b">
        <v>0</v>
      </c>
      <c r="N154" t="s">
        <v>33</v>
      </c>
    </row>
    <row r="155" spans="1:14" x14ac:dyDescent="0.35">
      <c r="A155" t="s">
        <v>323</v>
      </c>
      <c r="B155" t="s">
        <v>318</v>
      </c>
      <c r="C155" t="s">
        <v>65</v>
      </c>
      <c r="D155" t="s">
        <v>27</v>
      </c>
      <c r="E155" t="s">
        <v>94</v>
      </c>
      <c r="F155" t="s">
        <v>37</v>
      </c>
      <c r="G155" t="s">
        <v>30</v>
      </c>
      <c r="H155">
        <v>2</v>
      </c>
      <c r="I155">
        <v>17600</v>
      </c>
      <c r="J155">
        <v>35200</v>
      </c>
      <c r="K155" t="s">
        <v>54</v>
      </c>
      <c r="L155" t="s">
        <v>22</v>
      </c>
      <c r="M155" t="b">
        <v>0</v>
      </c>
      <c r="N155" t="s">
        <v>23</v>
      </c>
    </row>
    <row r="156" spans="1:14" x14ac:dyDescent="0.35">
      <c r="A156" t="s">
        <v>324</v>
      </c>
      <c r="B156" t="s">
        <v>310</v>
      </c>
      <c r="C156" t="s">
        <v>16</v>
      </c>
      <c r="D156" t="s">
        <v>17</v>
      </c>
      <c r="E156" t="s">
        <v>94</v>
      </c>
      <c r="F156" t="s">
        <v>37</v>
      </c>
      <c r="G156" t="s">
        <v>30</v>
      </c>
      <c r="H156">
        <v>1</v>
      </c>
      <c r="I156">
        <v>17100</v>
      </c>
      <c r="J156">
        <v>17100</v>
      </c>
      <c r="K156" t="s">
        <v>54</v>
      </c>
      <c r="L156" t="s">
        <v>109</v>
      </c>
      <c r="M156" t="b">
        <v>1</v>
      </c>
      <c r="N156" t="s">
        <v>23</v>
      </c>
    </row>
    <row r="157" spans="1:14" x14ac:dyDescent="0.35">
      <c r="A157" t="s">
        <v>325</v>
      </c>
      <c r="B157" t="s">
        <v>69</v>
      </c>
      <c r="C157" t="s">
        <v>16</v>
      </c>
      <c r="D157" t="s">
        <v>17</v>
      </c>
      <c r="E157" t="s">
        <v>102</v>
      </c>
      <c r="F157" t="s">
        <v>29</v>
      </c>
      <c r="G157" t="s">
        <v>30</v>
      </c>
      <c r="H157">
        <v>2</v>
      </c>
      <c r="I157">
        <v>30500</v>
      </c>
      <c r="J157">
        <v>61000</v>
      </c>
      <c r="K157" t="s">
        <v>70</v>
      </c>
      <c r="L157" t="s">
        <v>32</v>
      </c>
      <c r="M157" t="b">
        <v>1</v>
      </c>
      <c r="N157" t="s">
        <v>33</v>
      </c>
    </row>
    <row r="158" spans="1:14" x14ac:dyDescent="0.35">
      <c r="A158" t="s">
        <v>326</v>
      </c>
      <c r="B158" t="s">
        <v>167</v>
      </c>
      <c r="C158" t="s">
        <v>73</v>
      </c>
      <c r="D158" t="s">
        <v>43</v>
      </c>
      <c r="E158" t="s">
        <v>97</v>
      </c>
      <c r="F158" t="s">
        <v>29</v>
      </c>
      <c r="G158" t="s">
        <v>30</v>
      </c>
      <c r="H158">
        <v>1</v>
      </c>
      <c r="I158">
        <v>33700</v>
      </c>
      <c r="J158">
        <v>33700</v>
      </c>
      <c r="K158" t="s">
        <v>31</v>
      </c>
      <c r="L158" t="s">
        <v>109</v>
      </c>
      <c r="M158" t="b">
        <v>1</v>
      </c>
      <c r="N158" t="s">
        <v>33</v>
      </c>
    </row>
    <row r="159" spans="1:14" x14ac:dyDescent="0.35">
      <c r="A159" t="s">
        <v>327</v>
      </c>
      <c r="B159" t="s">
        <v>184</v>
      </c>
      <c r="C159" t="s">
        <v>73</v>
      </c>
      <c r="D159" t="s">
        <v>43</v>
      </c>
      <c r="E159" t="s">
        <v>36</v>
      </c>
      <c r="F159" t="s">
        <v>37</v>
      </c>
      <c r="G159" t="s">
        <v>30</v>
      </c>
      <c r="H159">
        <v>1</v>
      </c>
      <c r="I159">
        <v>40500</v>
      </c>
      <c r="J159">
        <v>40500</v>
      </c>
      <c r="K159" t="s">
        <v>70</v>
      </c>
      <c r="L159" t="s">
        <v>109</v>
      </c>
      <c r="M159" t="b">
        <v>1</v>
      </c>
      <c r="N159" t="s">
        <v>33</v>
      </c>
    </row>
    <row r="160" spans="1:14" x14ac:dyDescent="0.35">
      <c r="A160" t="s">
        <v>328</v>
      </c>
      <c r="B160" t="s">
        <v>329</v>
      </c>
      <c r="C160" t="s">
        <v>16</v>
      </c>
      <c r="D160" t="s">
        <v>17</v>
      </c>
      <c r="E160" t="s">
        <v>36</v>
      </c>
      <c r="F160" t="s">
        <v>37</v>
      </c>
      <c r="G160" t="s">
        <v>30</v>
      </c>
      <c r="H160">
        <v>1</v>
      </c>
      <c r="I160">
        <v>43400</v>
      </c>
      <c r="J160">
        <v>43400</v>
      </c>
      <c r="K160" t="s">
        <v>54</v>
      </c>
      <c r="L160" t="s">
        <v>39</v>
      </c>
      <c r="M160" t="b">
        <v>0</v>
      </c>
      <c r="N160" t="s">
        <v>33</v>
      </c>
    </row>
    <row r="161" spans="1:14" x14ac:dyDescent="0.35">
      <c r="A161" t="s">
        <v>330</v>
      </c>
      <c r="B161" t="s">
        <v>331</v>
      </c>
      <c r="C161" t="s">
        <v>50</v>
      </c>
      <c r="D161" t="s">
        <v>51</v>
      </c>
      <c r="E161" t="s">
        <v>97</v>
      </c>
      <c r="F161" t="s">
        <v>29</v>
      </c>
      <c r="G161" t="s">
        <v>20</v>
      </c>
      <c r="H161">
        <v>1</v>
      </c>
      <c r="I161">
        <v>30700</v>
      </c>
      <c r="J161">
        <v>30700</v>
      </c>
      <c r="K161" t="s">
        <v>38</v>
      </c>
      <c r="L161" t="s">
        <v>109</v>
      </c>
      <c r="M161" t="b">
        <v>1</v>
      </c>
      <c r="N161" t="s">
        <v>33</v>
      </c>
    </row>
    <row r="162" spans="1:14" x14ac:dyDescent="0.35">
      <c r="A162" t="s">
        <v>332</v>
      </c>
      <c r="B162" t="s">
        <v>41</v>
      </c>
      <c r="C162" t="s">
        <v>65</v>
      </c>
      <c r="D162" t="s">
        <v>27</v>
      </c>
      <c r="E162" t="s">
        <v>102</v>
      </c>
      <c r="F162" t="s">
        <v>29</v>
      </c>
      <c r="G162" t="s">
        <v>30</v>
      </c>
      <c r="H162">
        <v>2</v>
      </c>
      <c r="I162">
        <v>27600</v>
      </c>
      <c r="J162">
        <v>55200</v>
      </c>
      <c r="K162" t="s">
        <v>46</v>
      </c>
      <c r="L162" t="s">
        <v>47</v>
      </c>
      <c r="M162" t="b">
        <v>0</v>
      </c>
      <c r="N162" t="s">
        <v>23</v>
      </c>
    </row>
    <row r="163" spans="1:14" x14ac:dyDescent="0.35">
      <c r="A163" t="s">
        <v>333</v>
      </c>
      <c r="B163" t="s">
        <v>159</v>
      </c>
      <c r="C163" t="s">
        <v>67</v>
      </c>
      <c r="D163" t="s">
        <v>59</v>
      </c>
      <c r="E163" t="s">
        <v>97</v>
      </c>
      <c r="F163" t="s">
        <v>29</v>
      </c>
      <c r="G163" t="s">
        <v>30</v>
      </c>
      <c r="H163">
        <v>1</v>
      </c>
      <c r="I163">
        <v>30400</v>
      </c>
      <c r="J163">
        <v>30400</v>
      </c>
      <c r="K163" t="s">
        <v>38</v>
      </c>
      <c r="L163" t="s">
        <v>32</v>
      </c>
      <c r="M163" t="b">
        <v>1</v>
      </c>
      <c r="N163" t="s">
        <v>33</v>
      </c>
    </row>
    <row r="164" spans="1:14" x14ac:dyDescent="0.35">
      <c r="A164" t="s">
        <v>334</v>
      </c>
      <c r="B164" t="s">
        <v>270</v>
      </c>
      <c r="C164" t="s">
        <v>65</v>
      </c>
      <c r="D164" t="s">
        <v>27</v>
      </c>
      <c r="E164" t="s">
        <v>94</v>
      </c>
      <c r="F164" t="s">
        <v>37</v>
      </c>
      <c r="G164" t="s">
        <v>30</v>
      </c>
      <c r="H164">
        <v>2</v>
      </c>
      <c r="I164">
        <v>17200</v>
      </c>
      <c r="J164">
        <v>34400</v>
      </c>
      <c r="K164" t="s">
        <v>54</v>
      </c>
      <c r="L164" t="s">
        <v>55</v>
      </c>
      <c r="M164" t="b">
        <v>0</v>
      </c>
      <c r="N164" t="s">
        <v>23</v>
      </c>
    </row>
    <row r="165" spans="1:14" x14ac:dyDescent="0.35">
      <c r="A165" t="s">
        <v>335</v>
      </c>
      <c r="B165" t="s">
        <v>249</v>
      </c>
      <c r="C165" t="s">
        <v>67</v>
      </c>
      <c r="D165" t="s">
        <v>59</v>
      </c>
      <c r="E165" t="s">
        <v>80</v>
      </c>
      <c r="F165" t="s">
        <v>81</v>
      </c>
      <c r="G165" t="s">
        <v>30</v>
      </c>
      <c r="H165">
        <v>1</v>
      </c>
      <c r="I165">
        <v>12800</v>
      </c>
      <c r="J165">
        <v>12800</v>
      </c>
      <c r="K165" t="s">
        <v>70</v>
      </c>
      <c r="L165" t="s">
        <v>22</v>
      </c>
      <c r="M165" t="b">
        <v>0</v>
      </c>
      <c r="N165" t="s">
        <v>23</v>
      </c>
    </row>
    <row r="166" spans="1:14" x14ac:dyDescent="0.35">
      <c r="A166" t="s">
        <v>336</v>
      </c>
      <c r="B166" t="s">
        <v>25</v>
      </c>
      <c r="C166" t="s">
        <v>67</v>
      </c>
      <c r="D166" t="s">
        <v>59</v>
      </c>
      <c r="E166" t="s">
        <v>36</v>
      </c>
      <c r="F166" t="s">
        <v>37</v>
      </c>
      <c r="G166" t="s">
        <v>30</v>
      </c>
      <c r="H166">
        <v>1</v>
      </c>
      <c r="I166">
        <v>43500</v>
      </c>
      <c r="J166">
        <v>43500</v>
      </c>
      <c r="K166" t="s">
        <v>31</v>
      </c>
      <c r="L166" t="s">
        <v>32</v>
      </c>
      <c r="M166" t="b">
        <v>1</v>
      </c>
      <c r="N166" t="s">
        <v>33</v>
      </c>
    </row>
    <row r="167" spans="1:14" x14ac:dyDescent="0.35">
      <c r="A167" t="s">
        <v>337</v>
      </c>
      <c r="B167" t="s">
        <v>338</v>
      </c>
      <c r="C167" t="s">
        <v>16</v>
      </c>
      <c r="D167" t="s">
        <v>17</v>
      </c>
      <c r="E167" t="s">
        <v>60</v>
      </c>
      <c r="F167" t="s">
        <v>53</v>
      </c>
      <c r="G167" t="s">
        <v>30</v>
      </c>
      <c r="H167">
        <v>2</v>
      </c>
      <c r="I167">
        <v>6600</v>
      </c>
      <c r="J167">
        <v>13200</v>
      </c>
      <c r="K167" t="s">
        <v>70</v>
      </c>
      <c r="L167" t="s">
        <v>39</v>
      </c>
      <c r="M167" t="b">
        <v>0</v>
      </c>
      <c r="N167" t="s">
        <v>23</v>
      </c>
    </row>
    <row r="168" spans="1:14" x14ac:dyDescent="0.35">
      <c r="A168" t="s">
        <v>339</v>
      </c>
      <c r="B168" t="s">
        <v>340</v>
      </c>
      <c r="C168" t="s">
        <v>73</v>
      </c>
      <c r="D168" t="s">
        <v>43</v>
      </c>
      <c r="E168" t="s">
        <v>94</v>
      </c>
      <c r="F168" t="s">
        <v>37</v>
      </c>
      <c r="G168" t="s">
        <v>20</v>
      </c>
      <c r="H168">
        <v>4</v>
      </c>
      <c r="I168">
        <v>18900</v>
      </c>
      <c r="J168">
        <v>75600</v>
      </c>
      <c r="K168" t="s">
        <v>70</v>
      </c>
      <c r="L168" t="s">
        <v>55</v>
      </c>
      <c r="M168" t="b">
        <v>0</v>
      </c>
      <c r="N168" t="s">
        <v>23</v>
      </c>
    </row>
    <row r="169" spans="1:14" x14ac:dyDescent="0.35">
      <c r="A169" t="s">
        <v>341</v>
      </c>
      <c r="B169" t="s">
        <v>342</v>
      </c>
      <c r="C169" t="s">
        <v>67</v>
      </c>
      <c r="D169" t="s">
        <v>59</v>
      </c>
      <c r="E169" t="s">
        <v>94</v>
      </c>
      <c r="F169" t="s">
        <v>37</v>
      </c>
      <c r="G169" t="s">
        <v>30</v>
      </c>
      <c r="H169">
        <v>1</v>
      </c>
      <c r="I169">
        <v>17300</v>
      </c>
      <c r="J169">
        <v>17300</v>
      </c>
      <c r="K169" t="s">
        <v>54</v>
      </c>
      <c r="L169" t="s">
        <v>47</v>
      </c>
      <c r="M169" t="b">
        <v>0</v>
      </c>
      <c r="N169" t="s">
        <v>23</v>
      </c>
    </row>
    <row r="170" spans="1:14" x14ac:dyDescent="0.35">
      <c r="A170" t="s">
        <v>343</v>
      </c>
      <c r="B170" t="s">
        <v>231</v>
      </c>
      <c r="C170" t="s">
        <v>73</v>
      </c>
      <c r="D170" t="s">
        <v>43</v>
      </c>
      <c r="E170" t="s">
        <v>52</v>
      </c>
      <c r="F170" t="s">
        <v>53</v>
      </c>
      <c r="G170" t="s">
        <v>30</v>
      </c>
      <c r="H170">
        <v>1</v>
      </c>
      <c r="I170">
        <v>8300</v>
      </c>
      <c r="J170">
        <v>8300</v>
      </c>
      <c r="K170" t="s">
        <v>46</v>
      </c>
      <c r="L170" t="s">
        <v>47</v>
      </c>
      <c r="M170" t="b">
        <v>0</v>
      </c>
      <c r="N170" t="s">
        <v>23</v>
      </c>
    </row>
    <row r="171" spans="1:14" x14ac:dyDescent="0.35">
      <c r="A171" t="s">
        <v>344</v>
      </c>
      <c r="B171" t="s">
        <v>345</v>
      </c>
      <c r="C171" t="s">
        <v>42</v>
      </c>
      <c r="D171" t="s">
        <v>43</v>
      </c>
      <c r="E171" t="s">
        <v>36</v>
      </c>
      <c r="F171" t="s">
        <v>37</v>
      </c>
      <c r="G171" t="s">
        <v>20</v>
      </c>
      <c r="H171">
        <v>3</v>
      </c>
      <c r="I171">
        <v>39900</v>
      </c>
      <c r="J171">
        <v>119700</v>
      </c>
      <c r="K171" t="s">
        <v>21</v>
      </c>
      <c r="L171" t="s">
        <v>32</v>
      </c>
      <c r="M171" t="b">
        <v>1</v>
      </c>
      <c r="N171" t="s">
        <v>33</v>
      </c>
    </row>
    <row r="172" spans="1:14" x14ac:dyDescent="0.35">
      <c r="A172" t="s">
        <v>346</v>
      </c>
      <c r="B172" t="s">
        <v>243</v>
      </c>
      <c r="C172" t="s">
        <v>67</v>
      </c>
      <c r="D172" t="s">
        <v>59</v>
      </c>
      <c r="E172" t="s">
        <v>18</v>
      </c>
      <c r="F172" t="s">
        <v>19</v>
      </c>
      <c r="G172" t="s">
        <v>30</v>
      </c>
      <c r="H172">
        <v>1</v>
      </c>
      <c r="I172">
        <v>22600</v>
      </c>
      <c r="J172">
        <v>22600</v>
      </c>
      <c r="K172" t="s">
        <v>70</v>
      </c>
      <c r="L172" t="s">
        <v>47</v>
      </c>
      <c r="M172" t="b">
        <v>0</v>
      </c>
      <c r="N172" t="s">
        <v>23</v>
      </c>
    </row>
    <row r="173" spans="1:14" x14ac:dyDescent="0.35">
      <c r="A173" t="s">
        <v>347</v>
      </c>
      <c r="B173" t="s">
        <v>152</v>
      </c>
      <c r="C173" t="s">
        <v>67</v>
      </c>
      <c r="D173" t="s">
        <v>59</v>
      </c>
      <c r="E173" t="s">
        <v>44</v>
      </c>
      <c r="F173" t="s">
        <v>45</v>
      </c>
      <c r="G173" t="s">
        <v>20</v>
      </c>
      <c r="H173">
        <v>1</v>
      </c>
      <c r="I173">
        <v>27400</v>
      </c>
      <c r="J173">
        <v>27400</v>
      </c>
      <c r="K173" t="s">
        <v>54</v>
      </c>
      <c r="L173" t="s">
        <v>39</v>
      </c>
      <c r="M173" t="b">
        <v>0</v>
      </c>
      <c r="N173" t="s">
        <v>23</v>
      </c>
    </row>
    <row r="174" spans="1:14" x14ac:dyDescent="0.35">
      <c r="A174" t="s">
        <v>348</v>
      </c>
      <c r="B174" t="s">
        <v>349</v>
      </c>
      <c r="C174" t="s">
        <v>73</v>
      </c>
      <c r="D174" t="s">
        <v>43</v>
      </c>
      <c r="E174" t="s">
        <v>102</v>
      </c>
      <c r="F174" t="s">
        <v>29</v>
      </c>
      <c r="G174" t="s">
        <v>30</v>
      </c>
      <c r="H174">
        <v>2</v>
      </c>
      <c r="I174">
        <v>28100</v>
      </c>
      <c r="J174">
        <v>56200</v>
      </c>
      <c r="K174" t="s">
        <v>31</v>
      </c>
      <c r="L174" t="s">
        <v>88</v>
      </c>
      <c r="M174" t="b">
        <v>0</v>
      </c>
      <c r="N174" t="s">
        <v>33</v>
      </c>
    </row>
    <row r="175" spans="1:14" x14ac:dyDescent="0.35">
      <c r="A175" t="s">
        <v>350</v>
      </c>
      <c r="B175" t="s">
        <v>108</v>
      </c>
      <c r="C175" t="s">
        <v>73</v>
      </c>
      <c r="D175" t="s">
        <v>43</v>
      </c>
      <c r="E175" t="s">
        <v>60</v>
      </c>
      <c r="F175" t="s">
        <v>53</v>
      </c>
      <c r="G175" t="s">
        <v>20</v>
      </c>
      <c r="H175">
        <v>1</v>
      </c>
      <c r="I175">
        <v>6700</v>
      </c>
      <c r="J175">
        <v>6700</v>
      </c>
      <c r="K175" t="s">
        <v>70</v>
      </c>
      <c r="L175" t="s">
        <v>109</v>
      </c>
      <c r="M175" t="b">
        <v>1</v>
      </c>
      <c r="N175" t="s">
        <v>23</v>
      </c>
    </row>
    <row r="176" spans="1:14" x14ac:dyDescent="0.35">
      <c r="A176" t="s">
        <v>351</v>
      </c>
      <c r="B176" t="s">
        <v>352</v>
      </c>
      <c r="C176" t="s">
        <v>50</v>
      </c>
      <c r="D176" t="s">
        <v>51</v>
      </c>
      <c r="E176" t="s">
        <v>120</v>
      </c>
      <c r="F176" t="s">
        <v>45</v>
      </c>
      <c r="G176" t="s">
        <v>20</v>
      </c>
      <c r="H176">
        <v>1</v>
      </c>
      <c r="I176">
        <v>56000</v>
      </c>
      <c r="J176">
        <v>56000</v>
      </c>
      <c r="K176" t="s">
        <v>54</v>
      </c>
      <c r="L176" t="s">
        <v>22</v>
      </c>
      <c r="M176" t="b">
        <v>0</v>
      </c>
      <c r="N176" t="s">
        <v>33</v>
      </c>
    </row>
    <row r="177" spans="1:14" x14ac:dyDescent="0.35">
      <c r="A177" t="s">
        <v>353</v>
      </c>
      <c r="B177" t="s">
        <v>354</v>
      </c>
      <c r="C177" t="s">
        <v>73</v>
      </c>
      <c r="D177" t="s">
        <v>43</v>
      </c>
      <c r="E177" t="s">
        <v>44</v>
      </c>
      <c r="F177" t="s">
        <v>45</v>
      </c>
      <c r="G177" t="s">
        <v>20</v>
      </c>
      <c r="H177">
        <v>2</v>
      </c>
      <c r="I177">
        <v>29600</v>
      </c>
      <c r="J177">
        <v>59200</v>
      </c>
      <c r="K177" t="s">
        <v>31</v>
      </c>
      <c r="L177" t="s">
        <v>109</v>
      </c>
      <c r="M177" t="b">
        <v>1</v>
      </c>
      <c r="N177" t="s">
        <v>33</v>
      </c>
    </row>
    <row r="178" spans="1:14" x14ac:dyDescent="0.35">
      <c r="A178" t="s">
        <v>355</v>
      </c>
      <c r="B178" t="s">
        <v>115</v>
      </c>
      <c r="C178" t="s">
        <v>73</v>
      </c>
      <c r="D178" t="s">
        <v>43</v>
      </c>
      <c r="E178" t="s">
        <v>60</v>
      </c>
      <c r="F178" t="s">
        <v>53</v>
      </c>
      <c r="G178" t="s">
        <v>20</v>
      </c>
      <c r="H178">
        <v>2</v>
      </c>
      <c r="I178">
        <v>6500</v>
      </c>
      <c r="J178">
        <v>13000</v>
      </c>
      <c r="K178" t="s">
        <v>46</v>
      </c>
      <c r="L178" t="s">
        <v>32</v>
      </c>
      <c r="M178" t="b">
        <v>1</v>
      </c>
      <c r="N178" t="s">
        <v>23</v>
      </c>
    </row>
    <row r="179" spans="1:14" x14ac:dyDescent="0.35">
      <c r="A179" t="s">
        <v>356</v>
      </c>
      <c r="B179" t="s">
        <v>154</v>
      </c>
      <c r="C179" t="s">
        <v>42</v>
      </c>
      <c r="D179" t="s">
        <v>43</v>
      </c>
      <c r="E179" t="s">
        <v>120</v>
      </c>
      <c r="F179" t="s">
        <v>45</v>
      </c>
      <c r="G179" t="s">
        <v>20</v>
      </c>
      <c r="H179">
        <v>1</v>
      </c>
      <c r="I179">
        <v>53000</v>
      </c>
      <c r="J179">
        <v>53000</v>
      </c>
      <c r="K179" t="s">
        <v>46</v>
      </c>
      <c r="L179" t="s">
        <v>88</v>
      </c>
      <c r="M179" t="b">
        <v>0</v>
      </c>
      <c r="N179" t="s">
        <v>33</v>
      </c>
    </row>
    <row r="180" spans="1:14" x14ac:dyDescent="0.35">
      <c r="A180" t="s">
        <v>357</v>
      </c>
      <c r="B180" t="s">
        <v>358</v>
      </c>
      <c r="C180" t="s">
        <v>67</v>
      </c>
      <c r="D180" t="s">
        <v>59</v>
      </c>
      <c r="E180" t="s">
        <v>120</v>
      </c>
      <c r="F180" t="s">
        <v>45</v>
      </c>
      <c r="G180" t="s">
        <v>30</v>
      </c>
      <c r="H180">
        <v>1</v>
      </c>
      <c r="I180">
        <v>52500</v>
      </c>
      <c r="J180">
        <v>52500</v>
      </c>
      <c r="K180" t="s">
        <v>21</v>
      </c>
      <c r="L180" t="s">
        <v>47</v>
      </c>
      <c r="M180" t="b">
        <v>0</v>
      </c>
      <c r="N180" t="s">
        <v>33</v>
      </c>
    </row>
    <row r="181" spans="1:14" x14ac:dyDescent="0.35">
      <c r="A181" t="s">
        <v>359</v>
      </c>
      <c r="B181" t="s">
        <v>360</v>
      </c>
      <c r="C181" t="s">
        <v>73</v>
      </c>
      <c r="D181" t="s">
        <v>43</v>
      </c>
      <c r="E181" t="s">
        <v>18</v>
      </c>
      <c r="F181" t="s">
        <v>19</v>
      </c>
      <c r="G181" t="s">
        <v>20</v>
      </c>
      <c r="H181">
        <v>3</v>
      </c>
      <c r="I181">
        <v>22200</v>
      </c>
      <c r="J181">
        <v>66600</v>
      </c>
      <c r="K181" t="s">
        <v>21</v>
      </c>
      <c r="L181" t="s">
        <v>88</v>
      </c>
      <c r="M181" t="b">
        <v>0</v>
      </c>
      <c r="N181" t="s">
        <v>23</v>
      </c>
    </row>
    <row r="182" spans="1:14" x14ac:dyDescent="0.35">
      <c r="A182" t="s">
        <v>361</v>
      </c>
      <c r="B182" t="s">
        <v>362</v>
      </c>
      <c r="C182" t="s">
        <v>50</v>
      </c>
      <c r="D182" t="s">
        <v>51</v>
      </c>
      <c r="E182" t="s">
        <v>97</v>
      </c>
      <c r="F182" t="s">
        <v>29</v>
      </c>
      <c r="G182" t="s">
        <v>30</v>
      </c>
      <c r="H182">
        <v>1</v>
      </c>
      <c r="I182">
        <v>31000</v>
      </c>
      <c r="J182">
        <v>31000</v>
      </c>
      <c r="K182" t="s">
        <v>70</v>
      </c>
      <c r="L182" t="s">
        <v>39</v>
      </c>
      <c r="M182" t="b">
        <v>0</v>
      </c>
      <c r="N182" t="s">
        <v>33</v>
      </c>
    </row>
    <row r="183" spans="1:14" x14ac:dyDescent="0.35">
      <c r="A183" t="s">
        <v>363</v>
      </c>
      <c r="B183" t="s">
        <v>364</v>
      </c>
      <c r="C183" t="s">
        <v>65</v>
      </c>
      <c r="D183" t="s">
        <v>27</v>
      </c>
      <c r="E183" t="s">
        <v>102</v>
      </c>
      <c r="F183" t="s">
        <v>29</v>
      </c>
      <c r="G183" t="s">
        <v>30</v>
      </c>
      <c r="H183">
        <v>2</v>
      </c>
      <c r="I183">
        <v>28100</v>
      </c>
      <c r="J183">
        <v>56200</v>
      </c>
      <c r="K183" t="s">
        <v>21</v>
      </c>
      <c r="L183" t="s">
        <v>88</v>
      </c>
      <c r="M183" t="b">
        <v>0</v>
      </c>
      <c r="N183" t="s">
        <v>33</v>
      </c>
    </row>
    <row r="184" spans="1:14" x14ac:dyDescent="0.35">
      <c r="A184" t="s">
        <v>365</v>
      </c>
      <c r="B184" t="s">
        <v>144</v>
      </c>
      <c r="C184" t="s">
        <v>58</v>
      </c>
      <c r="D184" t="s">
        <v>59</v>
      </c>
      <c r="E184" t="s">
        <v>28</v>
      </c>
      <c r="F184" t="s">
        <v>29</v>
      </c>
      <c r="G184" t="s">
        <v>20</v>
      </c>
      <c r="H184">
        <v>1</v>
      </c>
      <c r="I184">
        <v>115500</v>
      </c>
      <c r="J184">
        <v>115500</v>
      </c>
      <c r="K184" t="s">
        <v>31</v>
      </c>
      <c r="L184" t="s">
        <v>88</v>
      </c>
      <c r="M184" t="b">
        <v>0</v>
      </c>
      <c r="N184" t="s">
        <v>33</v>
      </c>
    </row>
    <row r="185" spans="1:14" x14ac:dyDescent="0.35">
      <c r="A185" t="s">
        <v>366</v>
      </c>
      <c r="B185" t="s">
        <v>129</v>
      </c>
      <c r="C185" t="s">
        <v>65</v>
      </c>
      <c r="D185" t="s">
        <v>27</v>
      </c>
      <c r="E185" t="s">
        <v>28</v>
      </c>
      <c r="F185" t="s">
        <v>29</v>
      </c>
      <c r="G185" t="s">
        <v>30</v>
      </c>
      <c r="H185">
        <v>1</v>
      </c>
      <c r="I185">
        <v>108600</v>
      </c>
      <c r="J185">
        <v>108600</v>
      </c>
      <c r="K185" t="s">
        <v>54</v>
      </c>
      <c r="L185" t="s">
        <v>109</v>
      </c>
      <c r="M185" t="b">
        <v>1</v>
      </c>
      <c r="N185" t="s">
        <v>33</v>
      </c>
    </row>
    <row r="186" spans="1:14" x14ac:dyDescent="0.35">
      <c r="A186" t="s">
        <v>367</v>
      </c>
      <c r="B186" t="s">
        <v>104</v>
      </c>
      <c r="C186" t="s">
        <v>50</v>
      </c>
      <c r="D186" t="s">
        <v>51</v>
      </c>
      <c r="E186" t="s">
        <v>97</v>
      </c>
      <c r="F186" t="s">
        <v>29</v>
      </c>
      <c r="G186" t="s">
        <v>30</v>
      </c>
      <c r="H186">
        <v>2</v>
      </c>
      <c r="I186">
        <v>29600</v>
      </c>
      <c r="J186">
        <v>59200</v>
      </c>
      <c r="K186" t="s">
        <v>46</v>
      </c>
      <c r="L186" t="s">
        <v>39</v>
      </c>
      <c r="M186" t="b">
        <v>0</v>
      </c>
      <c r="N186" t="s">
        <v>33</v>
      </c>
    </row>
    <row r="187" spans="1:14" x14ac:dyDescent="0.35">
      <c r="A187" t="s">
        <v>368</v>
      </c>
      <c r="B187" t="s">
        <v>167</v>
      </c>
      <c r="C187" t="s">
        <v>42</v>
      </c>
      <c r="D187" t="s">
        <v>43</v>
      </c>
      <c r="E187" t="s">
        <v>102</v>
      </c>
      <c r="F187" t="s">
        <v>29</v>
      </c>
      <c r="G187" t="s">
        <v>20</v>
      </c>
      <c r="H187">
        <v>1</v>
      </c>
      <c r="I187">
        <v>29200</v>
      </c>
      <c r="J187">
        <v>29200</v>
      </c>
      <c r="K187" t="s">
        <v>31</v>
      </c>
      <c r="L187" t="s">
        <v>109</v>
      </c>
      <c r="M187" t="b">
        <v>1</v>
      </c>
      <c r="N187" t="s">
        <v>33</v>
      </c>
    </row>
    <row r="188" spans="1:14" x14ac:dyDescent="0.35">
      <c r="A188" t="s">
        <v>369</v>
      </c>
      <c r="B188" t="s">
        <v>362</v>
      </c>
      <c r="C188" t="s">
        <v>73</v>
      </c>
      <c r="D188" t="s">
        <v>43</v>
      </c>
      <c r="E188" t="s">
        <v>28</v>
      </c>
      <c r="F188" t="s">
        <v>29</v>
      </c>
      <c r="G188" t="s">
        <v>20</v>
      </c>
      <c r="H188">
        <v>1</v>
      </c>
      <c r="I188">
        <v>123900</v>
      </c>
      <c r="J188">
        <v>123900</v>
      </c>
      <c r="K188" t="s">
        <v>70</v>
      </c>
      <c r="L188" t="s">
        <v>39</v>
      </c>
      <c r="M188" t="b">
        <v>0</v>
      </c>
      <c r="N188" t="s">
        <v>33</v>
      </c>
    </row>
    <row r="189" spans="1:14" x14ac:dyDescent="0.35">
      <c r="A189" t="s">
        <v>370</v>
      </c>
      <c r="B189" t="s">
        <v>371</v>
      </c>
      <c r="C189" t="s">
        <v>67</v>
      </c>
      <c r="D189" t="s">
        <v>59</v>
      </c>
      <c r="E189" t="s">
        <v>74</v>
      </c>
      <c r="F189" t="s">
        <v>75</v>
      </c>
      <c r="G189" t="s">
        <v>30</v>
      </c>
      <c r="H189">
        <v>5</v>
      </c>
      <c r="I189">
        <v>4400</v>
      </c>
      <c r="J189">
        <v>22000</v>
      </c>
      <c r="K189" t="s">
        <v>46</v>
      </c>
      <c r="L189" t="s">
        <v>109</v>
      </c>
      <c r="M189" t="b">
        <v>1</v>
      </c>
      <c r="N189" t="s">
        <v>23</v>
      </c>
    </row>
    <row r="190" spans="1:14" x14ac:dyDescent="0.35">
      <c r="A190" t="s">
        <v>372</v>
      </c>
      <c r="B190" t="s">
        <v>123</v>
      </c>
      <c r="C190" t="s">
        <v>16</v>
      </c>
      <c r="D190" t="s">
        <v>17</v>
      </c>
      <c r="E190" t="s">
        <v>120</v>
      </c>
      <c r="F190" t="s">
        <v>45</v>
      </c>
      <c r="G190" t="s">
        <v>30</v>
      </c>
      <c r="H190">
        <v>3</v>
      </c>
      <c r="I190">
        <v>52200</v>
      </c>
      <c r="J190">
        <v>156600</v>
      </c>
      <c r="K190" t="s">
        <v>31</v>
      </c>
      <c r="L190" t="s">
        <v>32</v>
      </c>
      <c r="M190" t="b">
        <v>1</v>
      </c>
      <c r="N190" t="s">
        <v>33</v>
      </c>
    </row>
    <row r="191" spans="1:14" x14ac:dyDescent="0.35">
      <c r="A191" t="s">
        <v>373</v>
      </c>
      <c r="B191" t="s">
        <v>338</v>
      </c>
      <c r="C191" t="s">
        <v>65</v>
      </c>
      <c r="D191" t="s">
        <v>27</v>
      </c>
      <c r="E191" t="s">
        <v>44</v>
      </c>
      <c r="F191" t="s">
        <v>45</v>
      </c>
      <c r="G191" t="s">
        <v>30</v>
      </c>
      <c r="H191">
        <v>1</v>
      </c>
      <c r="I191">
        <v>27700</v>
      </c>
      <c r="J191">
        <v>27700</v>
      </c>
      <c r="K191" t="s">
        <v>70</v>
      </c>
      <c r="L191" t="s">
        <v>39</v>
      </c>
      <c r="M191" t="b">
        <v>0</v>
      </c>
      <c r="N191" t="s">
        <v>23</v>
      </c>
    </row>
    <row r="192" spans="1:14" x14ac:dyDescent="0.35">
      <c r="A192" t="s">
        <v>374</v>
      </c>
      <c r="B192" t="s">
        <v>375</v>
      </c>
      <c r="C192" t="s">
        <v>58</v>
      </c>
      <c r="D192" t="s">
        <v>59</v>
      </c>
      <c r="E192" t="s">
        <v>36</v>
      </c>
      <c r="F192" t="s">
        <v>37</v>
      </c>
      <c r="G192" t="s">
        <v>30</v>
      </c>
      <c r="H192">
        <v>1</v>
      </c>
      <c r="I192">
        <v>42900</v>
      </c>
      <c r="J192">
        <v>42900</v>
      </c>
      <c r="K192" t="s">
        <v>38</v>
      </c>
      <c r="L192" t="s">
        <v>55</v>
      </c>
      <c r="M192" t="b">
        <v>0</v>
      </c>
      <c r="N192" t="s">
        <v>33</v>
      </c>
    </row>
    <row r="193" spans="1:14" x14ac:dyDescent="0.35">
      <c r="A193" t="s">
        <v>376</v>
      </c>
      <c r="B193" t="s">
        <v>190</v>
      </c>
      <c r="C193" t="s">
        <v>50</v>
      </c>
      <c r="D193" t="s">
        <v>51</v>
      </c>
      <c r="E193" t="s">
        <v>44</v>
      </c>
      <c r="F193" t="s">
        <v>45</v>
      </c>
      <c r="G193" t="s">
        <v>30</v>
      </c>
      <c r="H193">
        <v>2</v>
      </c>
      <c r="I193">
        <v>27200</v>
      </c>
      <c r="J193">
        <v>54400</v>
      </c>
      <c r="K193" t="s">
        <v>70</v>
      </c>
      <c r="L193" t="s">
        <v>22</v>
      </c>
      <c r="M193" t="b">
        <v>0</v>
      </c>
      <c r="N193" t="s">
        <v>23</v>
      </c>
    </row>
    <row r="194" spans="1:14" x14ac:dyDescent="0.35">
      <c r="A194" t="s">
        <v>377</v>
      </c>
      <c r="B194" t="s">
        <v>267</v>
      </c>
      <c r="C194" t="s">
        <v>50</v>
      </c>
      <c r="D194" t="s">
        <v>51</v>
      </c>
      <c r="E194" t="s">
        <v>36</v>
      </c>
      <c r="F194" t="s">
        <v>37</v>
      </c>
      <c r="G194" t="s">
        <v>20</v>
      </c>
      <c r="H194">
        <v>1</v>
      </c>
      <c r="I194">
        <v>44400</v>
      </c>
      <c r="J194">
        <v>44400</v>
      </c>
      <c r="K194" t="s">
        <v>46</v>
      </c>
      <c r="L194" t="s">
        <v>22</v>
      </c>
      <c r="M194" t="b">
        <v>0</v>
      </c>
      <c r="N194" t="s">
        <v>33</v>
      </c>
    </row>
    <row r="195" spans="1:14" x14ac:dyDescent="0.35">
      <c r="A195" t="s">
        <v>378</v>
      </c>
      <c r="B195" t="s">
        <v>379</v>
      </c>
      <c r="C195" t="s">
        <v>65</v>
      </c>
      <c r="D195" t="s">
        <v>27</v>
      </c>
      <c r="E195" t="s">
        <v>120</v>
      </c>
      <c r="F195" t="s">
        <v>45</v>
      </c>
      <c r="G195" t="s">
        <v>30</v>
      </c>
      <c r="H195">
        <v>1</v>
      </c>
      <c r="I195">
        <v>52000</v>
      </c>
      <c r="J195">
        <v>52000</v>
      </c>
      <c r="K195" t="s">
        <v>38</v>
      </c>
      <c r="L195" t="s">
        <v>55</v>
      </c>
      <c r="M195" t="b">
        <v>0</v>
      </c>
      <c r="N195" t="s">
        <v>33</v>
      </c>
    </row>
    <row r="196" spans="1:14" x14ac:dyDescent="0.35">
      <c r="A196" t="s">
        <v>380</v>
      </c>
      <c r="B196" t="s">
        <v>381</v>
      </c>
      <c r="C196" t="s">
        <v>42</v>
      </c>
      <c r="D196" t="s">
        <v>43</v>
      </c>
      <c r="E196" t="s">
        <v>74</v>
      </c>
      <c r="F196" t="s">
        <v>75</v>
      </c>
      <c r="G196" t="s">
        <v>30</v>
      </c>
      <c r="H196">
        <v>4</v>
      </c>
      <c r="I196">
        <v>4400</v>
      </c>
      <c r="J196">
        <v>17600</v>
      </c>
      <c r="K196" t="s">
        <v>54</v>
      </c>
      <c r="L196" t="s">
        <v>47</v>
      </c>
      <c r="M196" t="b">
        <v>0</v>
      </c>
      <c r="N196" t="s">
        <v>23</v>
      </c>
    </row>
    <row r="197" spans="1:14" x14ac:dyDescent="0.35">
      <c r="A197" t="s">
        <v>382</v>
      </c>
      <c r="B197" t="s">
        <v>83</v>
      </c>
      <c r="C197" t="s">
        <v>42</v>
      </c>
      <c r="D197" t="s">
        <v>43</v>
      </c>
      <c r="E197" t="s">
        <v>102</v>
      </c>
      <c r="F197" t="s">
        <v>29</v>
      </c>
      <c r="G197" t="s">
        <v>30</v>
      </c>
      <c r="H197">
        <v>1</v>
      </c>
      <c r="I197">
        <v>28400</v>
      </c>
      <c r="J197">
        <v>28400</v>
      </c>
      <c r="K197" t="s">
        <v>21</v>
      </c>
      <c r="L197" t="s">
        <v>47</v>
      </c>
      <c r="M197" t="b">
        <v>0</v>
      </c>
      <c r="N197" t="s">
        <v>33</v>
      </c>
    </row>
    <row r="198" spans="1:14" x14ac:dyDescent="0.35">
      <c r="A198" t="s">
        <v>383</v>
      </c>
      <c r="B198" t="s">
        <v>41</v>
      </c>
      <c r="C198" t="s">
        <v>67</v>
      </c>
      <c r="D198" t="s">
        <v>59</v>
      </c>
      <c r="E198" t="s">
        <v>102</v>
      </c>
      <c r="F198" t="s">
        <v>29</v>
      </c>
      <c r="G198" t="s">
        <v>30</v>
      </c>
      <c r="H198">
        <v>1</v>
      </c>
      <c r="I198">
        <v>31000</v>
      </c>
      <c r="J198">
        <v>31000</v>
      </c>
      <c r="K198" t="s">
        <v>46</v>
      </c>
      <c r="L198" t="s">
        <v>47</v>
      </c>
      <c r="M198" t="b">
        <v>0</v>
      </c>
      <c r="N198" t="s">
        <v>33</v>
      </c>
    </row>
    <row r="199" spans="1:14" x14ac:dyDescent="0.35">
      <c r="A199" t="s">
        <v>384</v>
      </c>
      <c r="B199" t="s">
        <v>148</v>
      </c>
      <c r="C199" t="s">
        <v>42</v>
      </c>
      <c r="D199" t="s">
        <v>43</v>
      </c>
      <c r="E199" t="s">
        <v>28</v>
      </c>
      <c r="F199" t="s">
        <v>29</v>
      </c>
      <c r="G199" t="s">
        <v>30</v>
      </c>
      <c r="H199">
        <v>1</v>
      </c>
      <c r="I199">
        <v>111900</v>
      </c>
      <c r="J199">
        <v>111900</v>
      </c>
      <c r="K199" t="s">
        <v>31</v>
      </c>
      <c r="L199" t="s">
        <v>47</v>
      </c>
      <c r="M199" t="b">
        <v>0</v>
      </c>
      <c r="N199" t="s">
        <v>33</v>
      </c>
    </row>
    <row r="200" spans="1:14" x14ac:dyDescent="0.35">
      <c r="A200" t="s">
        <v>385</v>
      </c>
      <c r="B200" t="s">
        <v>358</v>
      </c>
      <c r="C200" t="s">
        <v>42</v>
      </c>
      <c r="D200" t="s">
        <v>43</v>
      </c>
      <c r="E200" t="s">
        <v>74</v>
      </c>
      <c r="F200" t="s">
        <v>75</v>
      </c>
      <c r="G200" t="s">
        <v>30</v>
      </c>
      <c r="H200">
        <v>3</v>
      </c>
      <c r="I200">
        <v>4300</v>
      </c>
      <c r="J200">
        <v>12900</v>
      </c>
      <c r="K200" t="s">
        <v>21</v>
      </c>
      <c r="L200" t="s">
        <v>47</v>
      </c>
      <c r="M200" t="b">
        <v>0</v>
      </c>
      <c r="N200" t="s">
        <v>23</v>
      </c>
    </row>
    <row r="201" spans="1:14" x14ac:dyDescent="0.35">
      <c r="A201" t="s">
        <v>386</v>
      </c>
      <c r="B201" t="s">
        <v>255</v>
      </c>
      <c r="C201" t="s">
        <v>67</v>
      </c>
      <c r="D201" t="s">
        <v>59</v>
      </c>
      <c r="E201" t="s">
        <v>44</v>
      </c>
      <c r="F201" t="s">
        <v>45</v>
      </c>
      <c r="G201" t="s">
        <v>30</v>
      </c>
      <c r="H201">
        <v>2</v>
      </c>
      <c r="I201">
        <v>27600</v>
      </c>
      <c r="J201">
        <v>55200</v>
      </c>
      <c r="K201" t="s">
        <v>70</v>
      </c>
      <c r="L201" t="s">
        <v>22</v>
      </c>
      <c r="M201" t="b">
        <v>0</v>
      </c>
      <c r="N201" t="s">
        <v>23</v>
      </c>
    </row>
    <row r="202" spans="1:14" x14ac:dyDescent="0.35">
      <c r="A202" t="s">
        <v>387</v>
      </c>
      <c r="B202" t="s">
        <v>388</v>
      </c>
      <c r="C202" t="s">
        <v>73</v>
      </c>
      <c r="D202" t="s">
        <v>43</v>
      </c>
      <c r="E202" t="s">
        <v>80</v>
      </c>
      <c r="F202" t="s">
        <v>81</v>
      </c>
      <c r="G202" t="s">
        <v>30</v>
      </c>
      <c r="H202">
        <v>1</v>
      </c>
      <c r="I202">
        <v>11400</v>
      </c>
      <c r="J202">
        <v>11400</v>
      </c>
      <c r="K202" t="s">
        <v>38</v>
      </c>
      <c r="L202" t="s">
        <v>109</v>
      </c>
      <c r="M202" t="b">
        <v>1</v>
      </c>
      <c r="N202" t="s">
        <v>23</v>
      </c>
    </row>
    <row r="203" spans="1:14" x14ac:dyDescent="0.35">
      <c r="A203" t="s">
        <v>389</v>
      </c>
      <c r="B203" t="s">
        <v>318</v>
      </c>
      <c r="C203" t="s">
        <v>50</v>
      </c>
      <c r="D203" t="s">
        <v>51</v>
      </c>
      <c r="E203" t="s">
        <v>74</v>
      </c>
      <c r="F203" t="s">
        <v>75</v>
      </c>
      <c r="G203" t="s">
        <v>30</v>
      </c>
      <c r="H203">
        <v>2</v>
      </c>
      <c r="I203">
        <v>4800</v>
      </c>
      <c r="J203">
        <v>9600</v>
      </c>
      <c r="K203" t="s">
        <v>54</v>
      </c>
      <c r="L203" t="s">
        <v>22</v>
      </c>
      <c r="M203" t="b">
        <v>0</v>
      </c>
      <c r="N203" t="s">
        <v>23</v>
      </c>
    </row>
    <row r="204" spans="1:14" x14ac:dyDescent="0.35">
      <c r="A204" t="s">
        <v>390</v>
      </c>
      <c r="B204" t="s">
        <v>184</v>
      </c>
      <c r="C204" t="s">
        <v>58</v>
      </c>
      <c r="D204" t="s">
        <v>59</v>
      </c>
      <c r="E204" t="s">
        <v>60</v>
      </c>
      <c r="F204" t="s">
        <v>53</v>
      </c>
      <c r="G204" t="s">
        <v>20</v>
      </c>
      <c r="H204">
        <v>1</v>
      </c>
      <c r="I204">
        <v>6500</v>
      </c>
      <c r="J204">
        <v>6500</v>
      </c>
      <c r="K204" t="s">
        <v>70</v>
      </c>
      <c r="L204" t="s">
        <v>109</v>
      </c>
      <c r="M204" t="b">
        <v>1</v>
      </c>
      <c r="N204" t="s">
        <v>23</v>
      </c>
    </row>
    <row r="205" spans="1:14" x14ac:dyDescent="0.35">
      <c r="A205" t="s">
        <v>391</v>
      </c>
      <c r="B205" t="s">
        <v>224</v>
      </c>
      <c r="C205" t="s">
        <v>58</v>
      </c>
      <c r="D205" t="s">
        <v>59</v>
      </c>
      <c r="E205" t="s">
        <v>94</v>
      </c>
      <c r="F205" t="s">
        <v>37</v>
      </c>
      <c r="G205" t="s">
        <v>30</v>
      </c>
      <c r="H205">
        <v>1</v>
      </c>
      <c r="I205">
        <v>18300</v>
      </c>
      <c r="J205">
        <v>18300</v>
      </c>
      <c r="K205" t="s">
        <v>38</v>
      </c>
      <c r="L205" t="s">
        <v>88</v>
      </c>
      <c r="M205" t="b">
        <v>0</v>
      </c>
      <c r="N205" t="s">
        <v>23</v>
      </c>
    </row>
    <row r="206" spans="1:14" x14ac:dyDescent="0.35">
      <c r="A206" t="s">
        <v>392</v>
      </c>
      <c r="B206" t="s">
        <v>274</v>
      </c>
      <c r="C206" t="s">
        <v>42</v>
      </c>
      <c r="D206" t="s">
        <v>43</v>
      </c>
      <c r="E206" t="s">
        <v>74</v>
      </c>
      <c r="F206" t="s">
        <v>75</v>
      </c>
      <c r="G206" t="s">
        <v>20</v>
      </c>
      <c r="H206">
        <v>1</v>
      </c>
      <c r="I206">
        <v>4600</v>
      </c>
      <c r="J206">
        <v>4600</v>
      </c>
      <c r="K206" t="s">
        <v>54</v>
      </c>
      <c r="L206" t="s">
        <v>109</v>
      </c>
      <c r="M206" t="b">
        <v>1</v>
      </c>
      <c r="N206" t="s">
        <v>23</v>
      </c>
    </row>
    <row r="207" spans="1:14" x14ac:dyDescent="0.35">
      <c r="A207" t="s">
        <v>393</v>
      </c>
      <c r="B207" t="s">
        <v>270</v>
      </c>
      <c r="C207" t="s">
        <v>73</v>
      </c>
      <c r="D207" t="s">
        <v>43</v>
      </c>
      <c r="E207" t="s">
        <v>44</v>
      </c>
      <c r="F207" t="s">
        <v>45</v>
      </c>
      <c r="G207" t="s">
        <v>30</v>
      </c>
      <c r="H207">
        <v>3</v>
      </c>
      <c r="I207">
        <v>26200</v>
      </c>
      <c r="J207">
        <v>78600</v>
      </c>
      <c r="K207" t="s">
        <v>54</v>
      </c>
      <c r="L207" t="s">
        <v>55</v>
      </c>
      <c r="M207" t="b">
        <v>0</v>
      </c>
      <c r="N207" t="s">
        <v>23</v>
      </c>
    </row>
    <row r="208" spans="1:14" x14ac:dyDescent="0.35">
      <c r="A208" t="s">
        <v>394</v>
      </c>
      <c r="B208" t="s">
        <v>214</v>
      </c>
      <c r="C208" t="s">
        <v>50</v>
      </c>
      <c r="D208" t="s">
        <v>51</v>
      </c>
      <c r="E208" t="s">
        <v>94</v>
      </c>
      <c r="F208" t="s">
        <v>37</v>
      </c>
      <c r="G208" t="s">
        <v>30</v>
      </c>
      <c r="H208">
        <v>1</v>
      </c>
      <c r="I208">
        <v>19200</v>
      </c>
      <c r="J208">
        <v>19200</v>
      </c>
      <c r="K208" t="s">
        <v>31</v>
      </c>
      <c r="L208" t="s">
        <v>47</v>
      </c>
      <c r="M208" t="b">
        <v>0</v>
      </c>
      <c r="N208" t="s">
        <v>23</v>
      </c>
    </row>
    <row r="209" spans="1:14" x14ac:dyDescent="0.35">
      <c r="A209" t="s">
        <v>395</v>
      </c>
      <c r="B209" t="s">
        <v>345</v>
      </c>
      <c r="C209" t="s">
        <v>42</v>
      </c>
      <c r="D209" t="s">
        <v>43</v>
      </c>
      <c r="E209" t="s">
        <v>52</v>
      </c>
      <c r="F209" t="s">
        <v>53</v>
      </c>
      <c r="G209" t="s">
        <v>30</v>
      </c>
      <c r="H209">
        <v>1</v>
      </c>
      <c r="I209">
        <v>8600</v>
      </c>
      <c r="J209">
        <v>8600</v>
      </c>
      <c r="K209" t="s">
        <v>21</v>
      </c>
      <c r="L209" t="s">
        <v>32</v>
      </c>
      <c r="M209" t="b">
        <v>1</v>
      </c>
      <c r="N209" t="s">
        <v>23</v>
      </c>
    </row>
    <row r="210" spans="1:14" x14ac:dyDescent="0.35">
      <c r="A210" t="s">
        <v>396</v>
      </c>
      <c r="B210" t="s">
        <v>203</v>
      </c>
      <c r="C210" t="s">
        <v>50</v>
      </c>
      <c r="D210" t="s">
        <v>51</v>
      </c>
      <c r="E210" t="s">
        <v>94</v>
      </c>
      <c r="F210" t="s">
        <v>37</v>
      </c>
      <c r="G210" t="s">
        <v>30</v>
      </c>
      <c r="H210">
        <v>1</v>
      </c>
      <c r="I210">
        <v>18200</v>
      </c>
      <c r="J210">
        <v>18200</v>
      </c>
      <c r="K210" t="s">
        <v>70</v>
      </c>
      <c r="L210" t="s">
        <v>55</v>
      </c>
      <c r="M210" t="b">
        <v>0</v>
      </c>
      <c r="N210" t="s">
        <v>23</v>
      </c>
    </row>
    <row r="211" spans="1:14" x14ac:dyDescent="0.35">
      <c r="A211" t="s">
        <v>397</v>
      </c>
      <c r="B211" t="s">
        <v>398</v>
      </c>
      <c r="C211" t="s">
        <v>67</v>
      </c>
      <c r="D211" t="s">
        <v>59</v>
      </c>
      <c r="E211" t="s">
        <v>74</v>
      </c>
      <c r="F211" t="s">
        <v>75</v>
      </c>
      <c r="G211" t="s">
        <v>20</v>
      </c>
      <c r="H211">
        <v>1</v>
      </c>
      <c r="I211">
        <v>4300</v>
      </c>
      <c r="J211">
        <v>4300</v>
      </c>
      <c r="K211" t="s">
        <v>38</v>
      </c>
      <c r="L211" t="s">
        <v>47</v>
      </c>
      <c r="M211" t="b">
        <v>0</v>
      </c>
      <c r="N211" t="s">
        <v>23</v>
      </c>
    </row>
    <row r="212" spans="1:14" x14ac:dyDescent="0.35">
      <c r="A212" t="s">
        <v>399</v>
      </c>
      <c r="B212" t="s">
        <v>371</v>
      </c>
      <c r="C212" t="s">
        <v>65</v>
      </c>
      <c r="D212" t="s">
        <v>27</v>
      </c>
      <c r="E212" t="s">
        <v>52</v>
      </c>
      <c r="F212" t="s">
        <v>53</v>
      </c>
      <c r="G212" t="s">
        <v>30</v>
      </c>
      <c r="H212">
        <v>1</v>
      </c>
      <c r="I212">
        <v>8700</v>
      </c>
      <c r="J212">
        <v>8700</v>
      </c>
      <c r="K212" t="s">
        <v>46</v>
      </c>
      <c r="L212" t="s">
        <v>109</v>
      </c>
      <c r="M212" t="b">
        <v>1</v>
      </c>
      <c r="N212" t="s">
        <v>23</v>
      </c>
    </row>
    <row r="213" spans="1:14" x14ac:dyDescent="0.35">
      <c r="A213" t="s">
        <v>400</v>
      </c>
      <c r="B213" t="s">
        <v>237</v>
      </c>
      <c r="C213" t="s">
        <v>50</v>
      </c>
      <c r="D213" t="s">
        <v>51</v>
      </c>
      <c r="E213" t="s">
        <v>36</v>
      </c>
      <c r="F213" t="s">
        <v>37</v>
      </c>
      <c r="G213" t="s">
        <v>20</v>
      </c>
      <c r="H213">
        <v>2</v>
      </c>
      <c r="I213">
        <v>41500</v>
      </c>
      <c r="J213">
        <v>83000</v>
      </c>
      <c r="K213" t="s">
        <v>54</v>
      </c>
      <c r="L213" t="s">
        <v>39</v>
      </c>
      <c r="M213" t="b">
        <v>0</v>
      </c>
      <c r="N213" t="s">
        <v>33</v>
      </c>
    </row>
    <row r="214" spans="1:14" x14ac:dyDescent="0.35">
      <c r="A214" t="s">
        <v>401</v>
      </c>
      <c r="B214" t="s">
        <v>91</v>
      </c>
      <c r="C214" t="s">
        <v>50</v>
      </c>
      <c r="D214" t="s">
        <v>51</v>
      </c>
      <c r="E214" t="s">
        <v>97</v>
      </c>
      <c r="F214" t="s">
        <v>29</v>
      </c>
      <c r="G214" t="s">
        <v>30</v>
      </c>
      <c r="H214">
        <v>2</v>
      </c>
      <c r="I214">
        <v>33000</v>
      </c>
      <c r="J214">
        <v>66000</v>
      </c>
      <c r="K214" t="s">
        <v>21</v>
      </c>
      <c r="L214" t="s">
        <v>55</v>
      </c>
      <c r="M214" t="b">
        <v>0</v>
      </c>
      <c r="N214" t="s">
        <v>33</v>
      </c>
    </row>
    <row r="215" spans="1:14" x14ac:dyDescent="0.35">
      <c r="A215" t="s">
        <v>402</v>
      </c>
      <c r="B215" t="s">
        <v>131</v>
      </c>
      <c r="C215" t="s">
        <v>42</v>
      </c>
      <c r="D215" t="s">
        <v>43</v>
      </c>
      <c r="E215" t="s">
        <v>44</v>
      </c>
      <c r="F215" t="s">
        <v>45</v>
      </c>
      <c r="G215" t="s">
        <v>20</v>
      </c>
      <c r="H215">
        <v>3</v>
      </c>
      <c r="I215">
        <v>28800</v>
      </c>
      <c r="J215">
        <v>86400</v>
      </c>
      <c r="K215" t="s">
        <v>31</v>
      </c>
      <c r="L215" t="s">
        <v>32</v>
      </c>
      <c r="M215" t="b">
        <v>1</v>
      </c>
      <c r="N215" t="s">
        <v>33</v>
      </c>
    </row>
    <row r="216" spans="1:14" x14ac:dyDescent="0.35">
      <c r="A216" t="s">
        <v>403</v>
      </c>
      <c r="B216" t="s">
        <v>404</v>
      </c>
      <c r="C216" t="s">
        <v>73</v>
      </c>
      <c r="D216" t="s">
        <v>43</v>
      </c>
      <c r="E216" t="s">
        <v>44</v>
      </c>
      <c r="F216" t="s">
        <v>45</v>
      </c>
      <c r="G216" t="s">
        <v>20</v>
      </c>
      <c r="H216">
        <v>1</v>
      </c>
      <c r="I216">
        <v>25600</v>
      </c>
      <c r="J216">
        <v>25600</v>
      </c>
      <c r="K216" t="s">
        <v>70</v>
      </c>
      <c r="L216" t="s">
        <v>32</v>
      </c>
      <c r="M216" t="b">
        <v>1</v>
      </c>
      <c r="N216" t="s">
        <v>23</v>
      </c>
    </row>
    <row r="217" spans="1:14" x14ac:dyDescent="0.35">
      <c r="A217" t="s">
        <v>405</v>
      </c>
      <c r="B217" t="s">
        <v>300</v>
      </c>
      <c r="C217" t="s">
        <v>26</v>
      </c>
      <c r="D217" t="s">
        <v>27</v>
      </c>
      <c r="E217" t="s">
        <v>18</v>
      </c>
      <c r="F217" t="s">
        <v>19</v>
      </c>
      <c r="G217" t="s">
        <v>30</v>
      </c>
      <c r="H217">
        <v>1</v>
      </c>
      <c r="I217">
        <v>23600</v>
      </c>
      <c r="J217">
        <v>23600</v>
      </c>
      <c r="K217" t="s">
        <v>46</v>
      </c>
      <c r="L217" t="s">
        <v>39</v>
      </c>
      <c r="M217" t="b">
        <v>0</v>
      </c>
      <c r="N217" t="s">
        <v>23</v>
      </c>
    </row>
    <row r="218" spans="1:14" x14ac:dyDescent="0.35">
      <c r="A218" t="s">
        <v>406</v>
      </c>
      <c r="B218" t="s">
        <v>407</v>
      </c>
      <c r="C218" t="s">
        <v>50</v>
      </c>
      <c r="D218" t="s">
        <v>51</v>
      </c>
      <c r="E218" t="s">
        <v>52</v>
      </c>
      <c r="F218" t="s">
        <v>53</v>
      </c>
      <c r="G218" t="s">
        <v>30</v>
      </c>
      <c r="H218">
        <v>1</v>
      </c>
      <c r="I218">
        <v>8900</v>
      </c>
      <c r="J218">
        <v>8900</v>
      </c>
      <c r="K218" t="s">
        <v>21</v>
      </c>
      <c r="L218" t="s">
        <v>22</v>
      </c>
      <c r="M218" t="b">
        <v>0</v>
      </c>
      <c r="N218" t="s">
        <v>23</v>
      </c>
    </row>
    <row r="219" spans="1:14" x14ac:dyDescent="0.35">
      <c r="A219" t="s">
        <v>408</v>
      </c>
      <c r="B219" t="s">
        <v>264</v>
      </c>
      <c r="C219" t="s">
        <v>50</v>
      </c>
      <c r="D219" t="s">
        <v>51</v>
      </c>
      <c r="E219" t="s">
        <v>44</v>
      </c>
      <c r="F219" t="s">
        <v>45</v>
      </c>
      <c r="G219" t="s">
        <v>20</v>
      </c>
      <c r="H219">
        <v>3</v>
      </c>
      <c r="I219">
        <v>26200</v>
      </c>
      <c r="J219">
        <v>78600</v>
      </c>
      <c r="K219" t="s">
        <v>54</v>
      </c>
      <c r="L219" t="s">
        <v>32</v>
      </c>
      <c r="M219" t="b">
        <v>1</v>
      </c>
      <c r="N219" t="s">
        <v>23</v>
      </c>
    </row>
    <row r="220" spans="1:14" x14ac:dyDescent="0.35">
      <c r="A220" t="s">
        <v>409</v>
      </c>
      <c r="B220" t="s">
        <v>99</v>
      </c>
      <c r="C220" t="s">
        <v>58</v>
      </c>
      <c r="D220" t="s">
        <v>59</v>
      </c>
      <c r="E220" t="s">
        <v>102</v>
      </c>
      <c r="F220" t="s">
        <v>29</v>
      </c>
      <c r="G220" t="s">
        <v>20</v>
      </c>
      <c r="H220">
        <v>1</v>
      </c>
      <c r="I220">
        <v>27700</v>
      </c>
      <c r="J220">
        <v>27700</v>
      </c>
      <c r="K220" t="s">
        <v>46</v>
      </c>
      <c r="L220" t="s">
        <v>88</v>
      </c>
      <c r="M220" t="b">
        <v>0</v>
      </c>
      <c r="N220" t="s">
        <v>23</v>
      </c>
    </row>
    <row r="221" spans="1:14" x14ac:dyDescent="0.35">
      <c r="A221" t="s">
        <v>410</v>
      </c>
      <c r="B221" t="s">
        <v>310</v>
      </c>
      <c r="C221" t="s">
        <v>16</v>
      </c>
      <c r="D221" t="s">
        <v>17</v>
      </c>
      <c r="E221" t="s">
        <v>97</v>
      </c>
      <c r="F221" t="s">
        <v>29</v>
      </c>
      <c r="G221" t="s">
        <v>30</v>
      </c>
      <c r="H221">
        <v>4</v>
      </c>
      <c r="I221">
        <v>29500</v>
      </c>
      <c r="J221">
        <v>118000</v>
      </c>
      <c r="K221" t="s">
        <v>54</v>
      </c>
      <c r="L221" t="s">
        <v>109</v>
      </c>
      <c r="M221" t="b">
        <v>1</v>
      </c>
      <c r="N221" t="s">
        <v>33</v>
      </c>
    </row>
    <row r="222" spans="1:14" x14ac:dyDescent="0.35">
      <c r="A222" t="s">
        <v>411</v>
      </c>
      <c r="B222" t="s">
        <v>412</v>
      </c>
      <c r="C222" t="s">
        <v>16</v>
      </c>
      <c r="D222" t="s">
        <v>17</v>
      </c>
      <c r="E222" t="s">
        <v>36</v>
      </c>
      <c r="F222" t="s">
        <v>37</v>
      </c>
      <c r="G222" t="s">
        <v>30</v>
      </c>
      <c r="H222">
        <v>1</v>
      </c>
      <c r="I222">
        <v>41900</v>
      </c>
      <c r="J222">
        <v>41900</v>
      </c>
      <c r="K222" t="s">
        <v>46</v>
      </c>
      <c r="L222" t="s">
        <v>32</v>
      </c>
      <c r="M222" t="b">
        <v>1</v>
      </c>
      <c r="N222" t="s">
        <v>33</v>
      </c>
    </row>
    <row r="223" spans="1:14" x14ac:dyDescent="0.35">
      <c r="A223" t="s">
        <v>413</v>
      </c>
      <c r="B223" t="s">
        <v>131</v>
      </c>
      <c r="C223" t="s">
        <v>65</v>
      </c>
      <c r="D223" t="s">
        <v>27</v>
      </c>
      <c r="E223" t="s">
        <v>44</v>
      </c>
      <c r="F223" t="s">
        <v>45</v>
      </c>
      <c r="G223" t="s">
        <v>30</v>
      </c>
      <c r="H223">
        <v>2</v>
      </c>
      <c r="I223">
        <v>27800</v>
      </c>
      <c r="J223">
        <v>55600</v>
      </c>
      <c r="K223" t="s">
        <v>31</v>
      </c>
      <c r="L223" t="s">
        <v>32</v>
      </c>
      <c r="M223" t="b">
        <v>1</v>
      </c>
      <c r="N223" t="s">
        <v>23</v>
      </c>
    </row>
    <row r="224" spans="1:14" x14ac:dyDescent="0.35">
      <c r="A224" t="s">
        <v>414</v>
      </c>
      <c r="B224" t="s">
        <v>174</v>
      </c>
      <c r="C224" t="s">
        <v>73</v>
      </c>
      <c r="D224" t="s">
        <v>43</v>
      </c>
      <c r="E224" t="s">
        <v>44</v>
      </c>
      <c r="F224" t="s">
        <v>45</v>
      </c>
      <c r="G224" t="s">
        <v>30</v>
      </c>
      <c r="H224">
        <v>1</v>
      </c>
      <c r="I224">
        <v>29600</v>
      </c>
      <c r="J224">
        <v>29600</v>
      </c>
      <c r="K224" t="s">
        <v>31</v>
      </c>
      <c r="L224" t="s">
        <v>39</v>
      </c>
      <c r="M224" t="b">
        <v>0</v>
      </c>
      <c r="N224" t="s">
        <v>33</v>
      </c>
    </row>
    <row r="225" spans="1:14" x14ac:dyDescent="0.35">
      <c r="A225" t="s">
        <v>415</v>
      </c>
      <c r="B225" t="s">
        <v>220</v>
      </c>
      <c r="C225" t="s">
        <v>58</v>
      </c>
      <c r="D225" t="s">
        <v>59</v>
      </c>
      <c r="E225" t="s">
        <v>52</v>
      </c>
      <c r="F225" t="s">
        <v>53</v>
      </c>
      <c r="G225" t="s">
        <v>30</v>
      </c>
      <c r="H225">
        <v>1</v>
      </c>
      <c r="I225">
        <v>8200</v>
      </c>
      <c r="J225">
        <v>8200</v>
      </c>
      <c r="K225" t="s">
        <v>70</v>
      </c>
      <c r="L225" t="s">
        <v>109</v>
      </c>
      <c r="M225" t="b">
        <v>1</v>
      </c>
      <c r="N225" t="s">
        <v>23</v>
      </c>
    </row>
    <row r="226" spans="1:14" x14ac:dyDescent="0.35">
      <c r="A226" t="s">
        <v>416</v>
      </c>
      <c r="B226" t="s">
        <v>315</v>
      </c>
      <c r="C226" t="s">
        <v>26</v>
      </c>
      <c r="D226" t="s">
        <v>27</v>
      </c>
      <c r="E226" t="s">
        <v>120</v>
      </c>
      <c r="F226" t="s">
        <v>45</v>
      </c>
      <c r="G226" t="s">
        <v>30</v>
      </c>
      <c r="H226">
        <v>2</v>
      </c>
      <c r="I226">
        <v>49700</v>
      </c>
      <c r="J226">
        <v>99400</v>
      </c>
      <c r="K226" t="s">
        <v>54</v>
      </c>
      <c r="L226" t="s">
        <v>22</v>
      </c>
      <c r="M226" t="b">
        <v>0</v>
      </c>
      <c r="N226" t="s">
        <v>33</v>
      </c>
    </row>
    <row r="227" spans="1:14" x14ac:dyDescent="0.35">
      <c r="A227" t="s">
        <v>417</v>
      </c>
      <c r="B227" t="s">
        <v>418</v>
      </c>
      <c r="C227" t="s">
        <v>42</v>
      </c>
      <c r="D227" t="s">
        <v>43</v>
      </c>
      <c r="E227" t="s">
        <v>80</v>
      </c>
      <c r="F227" t="s">
        <v>81</v>
      </c>
      <c r="G227" t="s">
        <v>30</v>
      </c>
      <c r="H227">
        <v>2</v>
      </c>
      <c r="I227">
        <v>11800</v>
      </c>
      <c r="J227">
        <v>23600</v>
      </c>
      <c r="K227" t="s">
        <v>38</v>
      </c>
      <c r="L227" t="s">
        <v>22</v>
      </c>
      <c r="M227" t="b">
        <v>0</v>
      </c>
      <c r="N227" t="s">
        <v>23</v>
      </c>
    </row>
    <row r="228" spans="1:14" x14ac:dyDescent="0.35">
      <c r="A228" t="s">
        <v>419</v>
      </c>
      <c r="B228" t="s">
        <v>156</v>
      </c>
      <c r="C228" t="s">
        <v>58</v>
      </c>
      <c r="D228" t="s">
        <v>59</v>
      </c>
      <c r="E228" t="s">
        <v>74</v>
      </c>
      <c r="F228" t="s">
        <v>75</v>
      </c>
      <c r="G228" t="s">
        <v>20</v>
      </c>
      <c r="H228">
        <v>4</v>
      </c>
      <c r="I228">
        <v>4400</v>
      </c>
      <c r="J228">
        <v>17600</v>
      </c>
      <c r="K228" t="s">
        <v>21</v>
      </c>
      <c r="L228" t="s">
        <v>55</v>
      </c>
      <c r="M228" t="b">
        <v>0</v>
      </c>
      <c r="N228" t="s">
        <v>23</v>
      </c>
    </row>
    <row r="229" spans="1:14" x14ac:dyDescent="0.35">
      <c r="A229" t="s">
        <v>420</v>
      </c>
      <c r="B229" t="s">
        <v>421</v>
      </c>
      <c r="C229" t="s">
        <v>16</v>
      </c>
      <c r="D229" t="s">
        <v>17</v>
      </c>
      <c r="E229" t="s">
        <v>94</v>
      </c>
      <c r="F229" t="s">
        <v>37</v>
      </c>
      <c r="G229" t="s">
        <v>20</v>
      </c>
      <c r="H229">
        <v>2</v>
      </c>
      <c r="I229">
        <v>19300</v>
      </c>
      <c r="J229">
        <v>38600</v>
      </c>
      <c r="K229" t="s">
        <v>38</v>
      </c>
      <c r="L229" t="s">
        <v>88</v>
      </c>
      <c r="M229" t="b">
        <v>0</v>
      </c>
      <c r="N229" t="s">
        <v>23</v>
      </c>
    </row>
    <row r="230" spans="1:14" x14ac:dyDescent="0.35">
      <c r="A230" t="s">
        <v>422</v>
      </c>
      <c r="B230" t="s">
        <v>96</v>
      </c>
      <c r="C230" t="s">
        <v>16</v>
      </c>
      <c r="D230" t="s">
        <v>17</v>
      </c>
      <c r="E230" t="s">
        <v>60</v>
      </c>
      <c r="F230" t="s">
        <v>53</v>
      </c>
      <c r="G230" t="s">
        <v>20</v>
      </c>
      <c r="H230">
        <v>1</v>
      </c>
      <c r="I230">
        <v>6500</v>
      </c>
      <c r="J230">
        <v>6500</v>
      </c>
      <c r="K230" t="s">
        <v>38</v>
      </c>
      <c r="L230" t="s">
        <v>88</v>
      </c>
      <c r="M230" t="b">
        <v>0</v>
      </c>
      <c r="N230" t="s">
        <v>23</v>
      </c>
    </row>
    <row r="231" spans="1:14" x14ac:dyDescent="0.35">
      <c r="A231" t="s">
        <v>423</v>
      </c>
      <c r="B231" t="s">
        <v>241</v>
      </c>
      <c r="C231" t="s">
        <v>42</v>
      </c>
      <c r="D231" t="s">
        <v>43</v>
      </c>
      <c r="E231" t="s">
        <v>97</v>
      </c>
      <c r="F231" t="s">
        <v>29</v>
      </c>
      <c r="G231" t="s">
        <v>20</v>
      </c>
      <c r="H231">
        <v>1</v>
      </c>
      <c r="I231">
        <v>34500</v>
      </c>
      <c r="J231">
        <v>34500</v>
      </c>
      <c r="K231" t="s">
        <v>31</v>
      </c>
      <c r="L231" t="s">
        <v>39</v>
      </c>
      <c r="M231" t="b">
        <v>0</v>
      </c>
      <c r="N231" t="s">
        <v>33</v>
      </c>
    </row>
    <row r="232" spans="1:14" x14ac:dyDescent="0.35">
      <c r="A232" t="s">
        <v>424</v>
      </c>
      <c r="B232" t="s">
        <v>49</v>
      </c>
      <c r="C232" t="s">
        <v>42</v>
      </c>
      <c r="D232" t="s">
        <v>43</v>
      </c>
      <c r="E232" t="s">
        <v>52</v>
      </c>
      <c r="F232" t="s">
        <v>53</v>
      </c>
      <c r="G232" t="s">
        <v>30</v>
      </c>
      <c r="H232">
        <v>1</v>
      </c>
      <c r="I232">
        <v>8400</v>
      </c>
      <c r="J232">
        <v>8400</v>
      </c>
      <c r="K232" t="s">
        <v>54</v>
      </c>
      <c r="L232" t="s">
        <v>55</v>
      </c>
      <c r="M232" t="b">
        <v>0</v>
      </c>
      <c r="N232" t="s">
        <v>23</v>
      </c>
    </row>
    <row r="233" spans="1:14" x14ac:dyDescent="0.35">
      <c r="A233" t="s">
        <v>425</v>
      </c>
      <c r="B233" t="s">
        <v>315</v>
      </c>
      <c r="C233" t="s">
        <v>50</v>
      </c>
      <c r="D233" t="s">
        <v>51</v>
      </c>
      <c r="E233" t="s">
        <v>36</v>
      </c>
      <c r="F233" t="s">
        <v>37</v>
      </c>
      <c r="G233" t="s">
        <v>20</v>
      </c>
      <c r="H233">
        <v>2</v>
      </c>
      <c r="I233">
        <v>39700</v>
      </c>
      <c r="J233">
        <v>79400</v>
      </c>
      <c r="K233" t="s">
        <v>54</v>
      </c>
      <c r="L233" t="s">
        <v>22</v>
      </c>
      <c r="M233" t="b">
        <v>0</v>
      </c>
      <c r="N233" t="s">
        <v>33</v>
      </c>
    </row>
    <row r="234" spans="1:14" x14ac:dyDescent="0.35">
      <c r="A234" t="s">
        <v>426</v>
      </c>
      <c r="B234" t="s">
        <v>427</v>
      </c>
      <c r="C234" t="s">
        <v>50</v>
      </c>
      <c r="D234" t="s">
        <v>51</v>
      </c>
      <c r="E234" t="s">
        <v>60</v>
      </c>
      <c r="F234" t="s">
        <v>53</v>
      </c>
      <c r="G234" t="s">
        <v>30</v>
      </c>
      <c r="H234">
        <v>2</v>
      </c>
      <c r="I234">
        <v>7300</v>
      </c>
      <c r="J234">
        <v>14600</v>
      </c>
      <c r="K234" t="s">
        <v>70</v>
      </c>
      <c r="L234" t="s">
        <v>88</v>
      </c>
      <c r="M234" t="b">
        <v>0</v>
      </c>
      <c r="N234" t="s">
        <v>23</v>
      </c>
    </row>
    <row r="235" spans="1:14" x14ac:dyDescent="0.35">
      <c r="A235" t="s">
        <v>428</v>
      </c>
      <c r="B235" t="s">
        <v>15</v>
      </c>
      <c r="C235" t="s">
        <v>67</v>
      </c>
      <c r="D235" t="s">
        <v>59</v>
      </c>
      <c r="E235" t="s">
        <v>94</v>
      </c>
      <c r="F235" t="s">
        <v>37</v>
      </c>
      <c r="G235" t="s">
        <v>20</v>
      </c>
      <c r="H235">
        <v>1</v>
      </c>
      <c r="I235">
        <v>17700</v>
      </c>
      <c r="J235">
        <v>17700</v>
      </c>
      <c r="K235" t="s">
        <v>21</v>
      </c>
      <c r="L235" t="s">
        <v>22</v>
      </c>
      <c r="M235" t="b">
        <v>0</v>
      </c>
      <c r="N235" t="s">
        <v>23</v>
      </c>
    </row>
    <row r="236" spans="1:14" x14ac:dyDescent="0.35">
      <c r="A236" t="s">
        <v>429</v>
      </c>
      <c r="B236" t="s">
        <v>205</v>
      </c>
      <c r="C236" t="s">
        <v>26</v>
      </c>
      <c r="D236" t="s">
        <v>27</v>
      </c>
      <c r="E236" t="s">
        <v>102</v>
      </c>
      <c r="F236" t="s">
        <v>29</v>
      </c>
      <c r="G236" t="s">
        <v>30</v>
      </c>
      <c r="H236">
        <v>1</v>
      </c>
      <c r="I236">
        <v>29100</v>
      </c>
      <c r="J236">
        <v>29100</v>
      </c>
      <c r="K236" t="s">
        <v>38</v>
      </c>
      <c r="L236" t="s">
        <v>22</v>
      </c>
      <c r="M236" t="b">
        <v>0</v>
      </c>
      <c r="N236" t="s">
        <v>33</v>
      </c>
    </row>
    <row r="237" spans="1:14" x14ac:dyDescent="0.35">
      <c r="A237" t="s">
        <v>430</v>
      </c>
      <c r="B237" t="s">
        <v>96</v>
      </c>
      <c r="C237" t="s">
        <v>67</v>
      </c>
      <c r="D237" t="s">
        <v>59</v>
      </c>
      <c r="E237" t="s">
        <v>120</v>
      </c>
      <c r="F237" t="s">
        <v>45</v>
      </c>
      <c r="G237" t="s">
        <v>30</v>
      </c>
      <c r="H237">
        <v>2</v>
      </c>
      <c r="I237">
        <v>52700</v>
      </c>
      <c r="J237">
        <v>105400</v>
      </c>
      <c r="K237" t="s">
        <v>38</v>
      </c>
      <c r="L237" t="s">
        <v>88</v>
      </c>
      <c r="M237" t="b">
        <v>0</v>
      </c>
      <c r="N237" t="s">
        <v>33</v>
      </c>
    </row>
    <row r="238" spans="1:14" x14ac:dyDescent="0.35">
      <c r="A238" t="s">
        <v>431</v>
      </c>
      <c r="B238" t="s">
        <v>234</v>
      </c>
      <c r="C238" t="s">
        <v>73</v>
      </c>
      <c r="D238" t="s">
        <v>43</v>
      </c>
      <c r="E238" t="s">
        <v>60</v>
      </c>
      <c r="F238" t="s">
        <v>53</v>
      </c>
      <c r="G238" t="s">
        <v>30</v>
      </c>
      <c r="H238">
        <v>1</v>
      </c>
      <c r="I238">
        <v>6900</v>
      </c>
      <c r="J238">
        <v>6900</v>
      </c>
      <c r="K238" t="s">
        <v>21</v>
      </c>
      <c r="L238" t="s">
        <v>47</v>
      </c>
      <c r="M238" t="b">
        <v>0</v>
      </c>
      <c r="N238" t="s">
        <v>23</v>
      </c>
    </row>
    <row r="239" spans="1:14" x14ac:dyDescent="0.35">
      <c r="A239" t="s">
        <v>432</v>
      </c>
      <c r="B239" t="s">
        <v>170</v>
      </c>
      <c r="C239" t="s">
        <v>16</v>
      </c>
      <c r="D239" t="s">
        <v>17</v>
      </c>
      <c r="E239" t="s">
        <v>28</v>
      </c>
      <c r="F239" t="s">
        <v>29</v>
      </c>
      <c r="G239" t="s">
        <v>20</v>
      </c>
      <c r="H239">
        <v>1</v>
      </c>
      <c r="I239">
        <v>111500</v>
      </c>
      <c r="J239">
        <v>111500</v>
      </c>
      <c r="K239" t="s">
        <v>46</v>
      </c>
      <c r="L239" t="s">
        <v>109</v>
      </c>
      <c r="M239" t="b">
        <v>1</v>
      </c>
      <c r="N239" t="s">
        <v>33</v>
      </c>
    </row>
    <row r="240" spans="1:14" x14ac:dyDescent="0.35">
      <c r="A240" t="s">
        <v>433</v>
      </c>
      <c r="B240" t="s">
        <v>140</v>
      </c>
      <c r="C240" t="s">
        <v>26</v>
      </c>
      <c r="D240" t="s">
        <v>27</v>
      </c>
      <c r="E240" t="s">
        <v>102</v>
      </c>
      <c r="F240" t="s">
        <v>29</v>
      </c>
      <c r="G240" t="s">
        <v>30</v>
      </c>
      <c r="H240">
        <v>1</v>
      </c>
      <c r="I240">
        <v>28000</v>
      </c>
      <c r="J240">
        <v>28000</v>
      </c>
      <c r="K240" t="s">
        <v>38</v>
      </c>
      <c r="L240" t="s">
        <v>32</v>
      </c>
      <c r="M240" t="b">
        <v>1</v>
      </c>
      <c r="N240" t="s">
        <v>33</v>
      </c>
    </row>
    <row r="241" spans="1:14" x14ac:dyDescent="0.35">
      <c r="A241" t="s">
        <v>434</v>
      </c>
      <c r="B241" t="s">
        <v>69</v>
      </c>
      <c r="C241" t="s">
        <v>65</v>
      </c>
      <c r="D241" t="s">
        <v>27</v>
      </c>
      <c r="E241" t="s">
        <v>120</v>
      </c>
      <c r="F241" t="s">
        <v>45</v>
      </c>
      <c r="G241" t="s">
        <v>30</v>
      </c>
      <c r="H241">
        <v>1</v>
      </c>
      <c r="I241">
        <v>53700</v>
      </c>
      <c r="J241">
        <v>53700</v>
      </c>
      <c r="K241" t="s">
        <v>70</v>
      </c>
      <c r="L241" t="s">
        <v>32</v>
      </c>
      <c r="M241" t="b">
        <v>1</v>
      </c>
      <c r="N241" t="s">
        <v>33</v>
      </c>
    </row>
    <row r="242" spans="1:14" x14ac:dyDescent="0.35">
      <c r="A242" t="s">
        <v>435</v>
      </c>
      <c r="B242" t="s">
        <v>115</v>
      </c>
      <c r="C242" t="s">
        <v>67</v>
      </c>
      <c r="D242" t="s">
        <v>59</v>
      </c>
      <c r="E242" t="s">
        <v>102</v>
      </c>
      <c r="F242" t="s">
        <v>29</v>
      </c>
      <c r="G242" t="s">
        <v>30</v>
      </c>
      <c r="H242">
        <v>1</v>
      </c>
      <c r="I242">
        <v>29000</v>
      </c>
      <c r="J242">
        <v>29000</v>
      </c>
      <c r="K242" t="s">
        <v>46</v>
      </c>
      <c r="L242" t="s">
        <v>32</v>
      </c>
      <c r="M242" t="b">
        <v>1</v>
      </c>
      <c r="N242" t="s">
        <v>33</v>
      </c>
    </row>
    <row r="243" spans="1:14" x14ac:dyDescent="0.35">
      <c r="A243" t="s">
        <v>436</v>
      </c>
      <c r="B243" t="s">
        <v>285</v>
      </c>
      <c r="C243" t="s">
        <v>16</v>
      </c>
      <c r="D243" t="s">
        <v>17</v>
      </c>
      <c r="E243" t="s">
        <v>44</v>
      </c>
      <c r="F243" t="s">
        <v>45</v>
      </c>
      <c r="G243" t="s">
        <v>20</v>
      </c>
      <c r="H243">
        <v>1</v>
      </c>
      <c r="I243">
        <v>28400</v>
      </c>
      <c r="J243">
        <v>28400</v>
      </c>
      <c r="K243" t="s">
        <v>38</v>
      </c>
      <c r="L243" t="s">
        <v>109</v>
      </c>
      <c r="M243" t="b">
        <v>1</v>
      </c>
      <c r="N243" t="s">
        <v>33</v>
      </c>
    </row>
    <row r="244" spans="1:14" x14ac:dyDescent="0.35">
      <c r="A244" t="s">
        <v>437</v>
      </c>
      <c r="B244" t="s">
        <v>159</v>
      </c>
      <c r="C244" t="s">
        <v>16</v>
      </c>
      <c r="D244" t="s">
        <v>17</v>
      </c>
      <c r="E244" t="s">
        <v>102</v>
      </c>
      <c r="F244" t="s">
        <v>29</v>
      </c>
      <c r="G244" t="s">
        <v>30</v>
      </c>
      <c r="H244">
        <v>2</v>
      </c>
      <c r="I244">
        <v>27300</v>
      </c>
      <c r="J244">
        <v>54600</v>
      </c>
      <c r="K244" t="s">
        <v>38</v>
      </c>
      <c r="L244" t="s">
        <v>32</v>
      </c>
      <c r="M244" t="b">
        <v>1</v>
      </c>
      <c r="N244" t="s">
        <v>23</v>
      </c>
    </row>
    <row r="245" spans="1:14" x14ac:dyDescent="0.35">
      <c r="A245" t="s">
        <v>438</v>
      </c>
      <c r="B245" t="s">
        <v>375</v>
      </c>
      <c r="C245" t="s">
        <v>67</v>
      </c>
      <c r="D245" t="s">
        <v>59</v>
      </c>
      <c r="E245" t="s">
        <v>18</v>
      </c>
      <c r="F245" t="s">
        <v>19</v>
      </c>
      <c r="G245" t="s">
        <v>30</v>
      </c>
      <c r="H245">
        <v>1</v>
      </c>
      <c r="I245">
        <v>20700</v>
      </c>
      <c r="J245">
        <v>20700</v>
      </c>
      <c r="K245" t="s">
        <v>38</v>
      </c>
      <c r="L245" t="s">
        <v>55</v>
      </c>
      <c r="M245" t="b">
        <v>0</v>
      </c>
      <c r="N245" t="s">
        <v>23</v>
      </c>
    </row>
    <row r="246" spans="1:14" x14ac:dyDescent="0.35">
      <c r="A246" t="s">
        <v>439</v>
      </c>
      <c r="B246" t="s">
        <v>379</v>
      </c>
      <c r="C246" t="s">
        <v>73</v>
      </c>
      <c r="D246" t="s">
        <v>43</v>
      </c>
      <c r="E246" t="s">
        <v>80</v>
      </c>
      <c r="F246" t="s">
        <v>81</v>
      </c>
      <c r="G246" t="s">
        <v>30</v>
      </c>
      <c r="H246">
        <v>2</v>
      </c>
      <c r="I246">
        <v>11200</v>
      </c>
      <c r="J246">
        <v>22400</v>
      </c>
      <c r="K246" t="s">
        <v>38</v>
      </c>
      <c r="L246" t="s">
        <v>55</v>
      </c>
      <c r="M246" t="b">
        <v>0</v>
      </c>
      <c r="N246" t="s">
        <v>23</v>
      </c>
    </row>
    <row r="247" spans="1:14" x14ac:dyDescent="0.35">
      <c r="A247" t="s">
        <v>440</v>
      </c>
      <c r="B247" t="s">
        <v>441</v>
      </c>
      <c r="C247" t="s">
        <v>67</v>
      </c>
      <c r="D247" t="s">
        <v>59</v>
      </c>
      <c r="E247" t="s">
        <v>52</v>
      </c>
      <c r="F247" t="s">
        <v>53</v>
      </c>
      <c r="G247" t="s">
        <v>30</v>
      </c>
      <c r="H247">
        <v>1</v>
      </c>
      <c r="I247">
        <v>8300</v>
      </c>
      <c r="J247">
        <v>8300</v>
      </c>
      <c r="K247" t="s">
        <v>38</v>
      </c>
      <c r="L247" t="s">
        <v>109</v>
      </c>
      <c r="M247" t="b">
        <v>1</v>
      </c>
      <c r="N247" t="s">
        <v>23</v>
      </c>
    </row>
    <row r="248" spans="1:14" x14ac:dyDescent="0.35">
      <c r="A248" t="s">
        <v>442</v>
      </c>
      <c r="B248" t="s">
        <v>127</v>
      </c>
      <c r="C248" t="s">
        <v>58</v>
      </c>
      <c r="D248" t="s">
        <v>59</v>
      </c>
      <c r="E248" t="s">
        <v>74</v>
      </c>
      <c r="F248" t="s">
        <v>75</v>
      </c>
      <c r="G248" t="s">
        <v>30</v>
      </c>
      <c r="H248">
        <v>4</v>
      </c>
      <c r="I248">
        <v>4500</v>
      </c>
      <c r="J248">
        <v>18000</v>
      </c>
      <c r="K248" t="s">
        <v>46</v>
      </c>
      <c r="L248" t="s">
        <v>109</v>
      </c>
      <c r="M248" t="b">
        <v>1</v>
      </c>
      <c r="N248" t="s">
        <v>23</v>
      </c>
    </row>
    <row r="249" spans="1:14" x14ac:dyDescent="0.35">
      <c r="A249" t="s">
        <v>443</v>
      </c>
      <c r="B249" t="s">
        <v>364</v>
      </c>
      <c r="C249" t="s">
        <v>50</v>
      </c>
      <c r="D249" t="s">
        <v>51</v>
      </c>
      <c r="E249" t="s">
        <v>97</v>
      </c>
      <c r="F249" t="s">
        <v>29</v>
      </c>
      <c r="G249" t="s">
        <v>20</v>
      </c>
      <c r="H249">
        <v>1</v>
      </c>
      <c r="I249">
        <v>33700</v>
      </c>
      <c r="J249">
        <v>33700</v>
      </c>
      <c r="K249" t="s">
        <v>21</v>
      </c>
      <c r="L249" t="s">
        <v>88</v>
      </c>
      <c r="M249" t="b">
        <v>0</v>
      </c>
      <c r="N249" t="s">
        <v>33</v>
      </c>
    </row>
    <row r="250" spans="1:14" x14ac:dyDescent="0.35">
      <c r="A250" t="s">
        <v>444</v>
      </c>
      <c r="B250" t="s">
        <v>257</v>
      </c>
      <c r="C250" t="s">
        <v>16</v>
      </c>
      <c r="D250" t="s">
        <v>17</v>
      </c>
      <c r="E250" t="s">
        <v>18</v>
      </c>
      <c r="F250" t="s">
        <v>19</v>
      </c>
      <c r="G250" t="s">
        <v>20</v>
      </c>
      <c r="H250">
        <v>2</v>
      </c>
      <c r="I250">
        <v>21600</v>
      </c>
      <c r="J250">
        <v>43200</v>
      </c>
      <c r="K250" t="s">
        <v>54</v>
      </c>
      <c r="L250" t="s">
        <v>88</v>
      </c>
      <c r="M250" t="b">
        <v>0</v>
      </c>
      <c r="N250" t="s">
        <v>23</v>
      </c>
    </row>
    <row r="251" spans="1:14" x14ac:dyDescent="0.35">
      <c r="A251" t="s">
        <v>445</v>
      </c>
      <c r="B251" t="s">
        <v>178</v>
      </c>
      <c r="C251" t="s">
        <v>67</v>
      </c>
      <c r="D251" t="s">
        <v>59</v>
      </c>
      <c r="E251" t="s">
        <v>97</v>
      </c>
      <c r="F251" t="s">
        <v>29</v>
      </c>
      <c r="G251" t="s">
        <v>20</v>
      </c>
      <c r="H251">
        <v>1</v>
      </c>
      <c r="I251">
        <v>29900</v>
      </c>
      <c r="J251">
        <v>29900</v>
      </c>
      <c r="K251" t="s">
        <v>38</v>
      </c>
      <c r="L251" t="s">
        <v>47</v>
      </c>
      <c r="M251" t="b">
        <v>0</v>
      </c>
      <c r="N251" t="s">
        <v>33</v>
      </c>
    </row>
    <row r="252" spans="1:14" x14ac:dyDescent="0.35">
      <c r="A252" t="s">
        <v>446</v>
      </c>
      <c r="B252" t="s">
        <v>407</v>
      </c>
      <c r="C252" t="s">
        <v>26</v>
      </c>
      <c r="D252" t="s">
        <v>27</v>
      </c>
      <c r="E252" t="s">
        <v>36</v>
      </c>
      <c r="F252" t="s">
        <v>37</v>
      </c>
      <c r="G252" t="s">
        <v>20</v>
      </c>
      <c r="H252">
        <v>1</v>
      </c>
      <c r="I252">
        <v>38700</v>
      </c>
      <c r="J252">
        <v>38700</v>
      </c>
      <c r="K252" t="s">
        <v>21</v>
      </c>
      <c r="L252" t="s">
        <v>22</v>
      </c>
      <c r="M252" t="b">
        <v>0</v>
      </c>
      <c r="N252" t="s">
        <v>33</v>
      </c>
    </row>
    <row r="253" spans="1:14" x14ac:dyDescent="0.35">
      <c r="A253" t="s">
        <v>447</v>
      </c>
      <c r="B253" t="s">
        <v>140</v>
      </c>
      <c r="C253" t="s">
        <v>16</v>
      </c>
      <c r="D253" t="s">
        <v>17</v>
      </c>
      <c r="E253" t="s">
        <v>94</v>
      </c>
      <c r="F253" t="s">
        <v>37</v>
      </c>
      <c r="G253" t="s">
        <v>30</v>
      </c>
      <c r="H253">
        <v>1</v>
      </c>
      <c r="I253">
        <v>19200</v>
      </c>
      <c r="J253">
        <v>19200</v>
      </c>
      <c r="K253" t="s">
        <v>38</v>
      </c>
      <c r="L253" t="s">
        <v>32</v>
      </c>
      <c r="M253" t="b">
        <v>1</v>
      </c>
      <c r="N253" t="s">
        <v>23</v>
      </c>
    </row>
    <row r="254" spans="1:14" x14ac:dyDescent="0.35">
      <c r="A254" t="s">
        <v>448</v>
      </c>
      <c r="B254" t="s">
        <v>449</v>
      </c>
      <c r="C254" t="s">
        <v>65</v>
      </c>
      <c r="D254" t="s">
        <v>27</v>
      </c>
      <c r="E254" t="s">
        <v>60</v>
      </c>
      <c r="F254" t="s">
        <v>53</v>
      </c>
      <c r="G254" t="s">
        <v>30</v>
      </c>
      <c r="H254">
        <v>2</v>
      </c>
      <c r="I254">
        <v>6900</v>
      </c>
      <c r="J254">
        <v>13800</v>
      </c>
      <c r="K254" t="s">
        <v>46</v>
      </c>
      <c r="L254" t="s">
        <v>88</v>
      </c>
      <c r="M254" t="b">
        <v>0</v>
      </c>
      <c r="N254" t="s">
        <v>23</v>
      </c>
    </row>
    <row r="255" spans="1:14" x14ac:dyDescent="0.35">
      <c r="A255" t="s">
        <v>450</v>
      </c>
      <c r="B255" t="s">
        <v>77</v>
      </c>
      <c r="C255" t="s">
        <v>16</v>
      </c>
      <c r="D255" t="s">
        <v>17</v>
      </c>
      <c r="E255" t="s">
        <v>44</v>
      </c>
      <c r="F255" t="s">
        <v>45</v>
      </c>
      <c r="G255" t="s">
        <v>30</v>
      </c>
      <c r="H255">
        <v>1</v>
      </c>
      <c r="I255">
        <v>28000</v>
      </c>
      <c r="J255">
        <v>28000</v>
      </c>
      <c r="K255" t="s">
        <v>46</v>
      </c>
      <c r="L255" t="s">
        <v>32</v>
      </c>
      <c r="M255" t="b">
        <v>1</v>
      </c>
      <c r="N255" t="s">
        <v>33</v>
      </c>
    </row>
    <row r="256" spans="1:14" x14ac:dyDescent="0.35">
      <c r="A256" t="s">
        <v>451</v>
      </c>
      <c r="B256" t="s">
        <v>186</v>
      </c>
      <c r="C256" t="s">
        <v>73</v>
      </c>
      <c r="D256" t="s">
        <v>43</v>
      </c>
      <c r="E256" t="s">
        <v>97</v>
      </c>
      <c r="F256" t="s">
        <v>29</v>
      </c>
      <c r="G256" t="s">
        <v>30</v>
      </c>
      <c r="H256">
        <v>2</v>
      </c>
      <c r="I256">
        <v>33600</v>
      </c>
      <c r="J256">
        <v>67200</v>
      </c>
      <c r="K256" t="s">
        <v>38</v>
      </c>
      <c r="L256" t="s">
        <v>109</v>
      </c>
      <c r="M256" t="b">
        <v>1</v>
      </c>
      <c r="N256" t="s">
        <v>33</v>
      </c>
    </row>
    <row r="257" spans="1:14" x14ac:dyDescent="0.35">
      <c r="A257" t="s">
        <v>452</v>
      </c>
      <c r="B257" t="s">
        <v>72</v>
      </c>
      <c r="C257" t="s">
        <v>67</v>
      </c>
      <c r="D257" t="s">
        <v>59</v>
      </c>
      <c r="E257" t="s">
        <v>74</v>
      </c>
      <c r="F257" t="s">
        <v>75</v>
      </c>
      <c r="G257" t="s">
        <v>20</v>
      </c>
      <c r="H257">
        <v>3</v>
      </c>
      <c r="I257">
        <v>4400</v>
      </c>
      <c r="J257">
        <v>13200</v>
      </c>
      <c r="K257" t="s">
        <v>38</v>
      </c>
      <c r="L257" t="s">
        <v>22</v>
      </c>
      <c r="M257" t="b">
        <v>0</v>
      </c>
      <c r="N257" t="s">
        <v>23</v>
      </c>
    </row>
    <row r="258" spans="1:14" x14ac:dyDescent="0.35">
      <c r="A258" t="s">
        <v>453</v>
      </c>
      <c r="B258" t="s">
        <v>454</v>
      </c>
      <c r="C258" t="s">
        <v>16</v>
      </c>
      <c r="D258" t="s">
        <v>17</v>
      </c>
      <c r="E258" t="s">
        <v>97</v>
      </c>
      <c r="F258" t="s">
        <v>29</v>
      </c>
      <c r="G258" t="s">
        <v>20</v>
      </c>
      <c r="H258">
        <v>4</v>
      </c>
      <c r="I258">
        <v>30200</v>
      </c>
      <c r="J258">
        <v>120800</v>
      </c>
      <c r="K258" t="s">
        <v>70</v>
      </c>
      <c r="L258" t="s">
        <v>47</v>
      </c>
      <c r="M258" t="b">
        <v>0</v>
      </c>
      <c r="N258" t="s">
        <v>33</v>
      </c>
    </row>
    <row r="259" spans="1:14" x14ac:dyDescent="0.35">
      <c r="A259" t="s">
        <v>455</v>
      </c>
      <c r="B259" t="s">
        <v>456</v>
      </c>
      <c r="C259" t="s">
        <v>50</v>
      </c>
      <c r="D259" t="s">
        <v>51</v>
      </c>
      <c r="E259" t="s">
        <v>60</v>
      </c>
      <c r="F259" t="s">
        <v>53</v>
      </c>
      <c r="G259" t="s">
        <v>20</v>
      </c>
      <c r="H259">
        <v>4</v>
      </c>
      <c r="I259">
        <v>7000</v>
      </c>
      <c r="J259">
        <v>28000</v>
      </c>
      <c r="K259" t="s">
        <v>31</v>
      </c>
      <c r="L259" t="s">
        <v>47</v>
      </c>
      <c r="M259" t="b">
        <v>0</v>
      </c>
      <c r="N259" t="s">
        <v>23</v>
      </c>
    </row>
    <row r="260" spans="1:14" x14ac:dyDescent="0.35">
      <c r="A260" t="s">
        <v>457</v>
      </c>
      <c r="B260" t="s">
        <v>388</v>
      </c>
      <c r="C260" t="s">
        <v>58</v>
      </c>
      <c r="D260" t="s">
        <v>59</v>
      </c>
      <c r="E260" t="s">
        <v>52</v>
      </c>
      <c r="F260" t="s">
        <v>53</v>
      </c>
      <c r="G260" t="s">
        <v>20</v>
      </c>
      <c r="H260">
        <v>1</v>
      </c>
      <c r="I260">
        <v>8000</v>
      </c>
      <c r="J260">
        <v>8000</v>
      </c>
      <c r="K260" t="s">
        <v>38</v>
      </c>
      <c r="L260" t="s">
        <v>109</v>
      </c>
      <c r="M260" t="b">
        <v>1</v>
      </c>
      <c r="N260" t="s">
        <v>23</v>
      </c>
    </row>
    <row r="261" spans="1:14" x14ac:dyDescent="0.35">
      <c r="A261" t="s">
        <v>458</v>
      </c>
      <c r="B261" t="s">
        <v>156</v>
      </c>
      <c r="C261" t="s">
        <v>58</v>
      </c>
      <c r="D261" t="s">
        <v>59</v>
      </c>
      <c r="E261" t="s">
        <v>120</v>
      </c>
      <c r="F261" t="s">
        <v>45</v>
      </c>
      <c r="G261" t="s">
        <v>30</v>
      </c>
      <c r="H261">
        <v>1</v>
      </c>
      <c r="I261">
        <v>54700</v>
      </c>
      <c r="J261">
        <v>54700</v>
      </c>
      <c r="K261" t="s">
        <v>21</v>
      </c>
      <c r="L261" t="s">
        <v>55</v>
      </c>
      <c r="M261" t="b">
        <v>0</v>
      </c>
      <c r="N261" t="s">
        <v>33</v>
      </c>
    </row>
    <row r="262" spans="1:14" x14ac:dyDescent="0.35">
      <c r="A262" t="s">
        <v>459</v>
      </c>
      <c r="B262" t="s">
        <v>381</v>
      </c>
      <c r="C262" t="s">
        <v>16</v>
      </c>
      <c r="D262" t="s">
        <v>17</v>
      </c>
      <c r="E262" t="s">
        <v>28</v>
      </c>
      <c r="F262" t="s">
        <v>29</v>
      </c>
      <c r="G262" t="s">
        <v>20</v>
      </c>
      <c r="H262">
        <v>3</v>
      </c>
      <c r="I262">
        <v>112900</v>
      </c>
      <c r="J262">
        <v>338700</v>
      </c>
      <c r="K262" t="s">
        <v>54</v>
      </c>
      <c r="L262" t="s">
        <v>47</v>
      </c>
      <c r="M262" t="b">
        <v>0</v>
      </c>
      <c r="N262" t="s">
        <v>33</v>
      </c>
    </row>
    <row r="263" spans="1:14" x14ac:dyDescent="0.35">
      <c r="A263" t="s">
        <v>460</v>
      </c>
      <c r="B263" t="s">
        <v>322</v>
      </c>
      <c r="C263" t="s">
        <v>26</v>
      </c>
      <c r="D263" t="s">
        <v>27</v>
      </c>
      <c r="E263" t="s">
        <v>102</v>
      </c>
      <c r="F263" t="s">
        <v>29</v>
      </c>
      <c r="G263" t="s">
        <v>20</v>
      </c>
      <c r="H263">
        <v>1</v>
      </c>
      <c r="I263">
        <v>28000</v>
      </c>
      <c r="J263">
        <v>28000</v>
      </c>
      <c r="K263" t="s">
        <v>46</v>
      </c>
      <c r="L263" t="s">
        <v>55</v>
      </c>
      <c r="M263" t="b">
        <v>0</v>
      </c>
      <c r="N263" t="s">
        <v>33</v>
      </c>
    </row>
    <row r="264" spans="1:14" x14ac:dyDescent="0.35">
      <c r="A264" t="s">
        <v>461</v>
      </c>
      <c r="B264" t="s">
        <v>136</v>
      </c>
      <c r="C264" t="s">
        <v>42</v>
      </c>
      <c r="D264" t="s">
        <v>43</v>
      </c>
      <c r="E264" t="s">
        <v>102</v>
      </c>
      <c r="F264" t="s">
        <v>29</v>
      </c>
      <c r="G264" t="s">
        <v>30</v>
      </c>
      <c r="H264">
        <v>3</v>
      </c>
      <c r="I264">
        <v>27300</v>
      </c>
      <c r="J264">
        <v>81900</v>
      </c>
      <c r="K264" t="s">
        <v>70</v>
      </c>
      <c r="L264" t="s">
        <v>47</v>
      </c>
      <c r="M264" t="b">
        <v>0</v>
      </c>
      <c r="N264" t="s">
        <v>23</v>
      </c>
    </row>
    <row r="265" spans="1:14" x14ac:dyDescent="0.35">
      <c r="A265" t="s">
        <v>462</v>
      </c>
      <c r="B265" t="s">
        <v>49</v>
      </c>
      <c r="C265" t="s">
        <v>16</v>
      </c>
      <c r="D265" t="s">
        <v>17</v>
      </c>
      <c r="E265" t="s">
        <v>80</v>
      </c>
      <c r="F265" t="s">
        <v>81</v>
      </c>
      <c r="G265" t="s">
        <v>30</v>
      </c>
      <c r="H265">
        <v>1</v>
      </c>
      <c r="I265">
        <v>12100</v>
      </c>
      <c r="J265">
        <v>12100</v>
      </c>
      <c r="K265" t="s">
        <v>54</v>
      </c>
      <c r="L265" t="s">
        <v>55</v>
      </c>
      <c r="M265" t="b">
        <v>0</v>
      </c>
      <c r="N265" t="s">
        <v>23</v>
      </c>
    </row>
    <row r="266" spans="1:14" x14ac:dyDescent="0.35">
      <c r="A266" t="s">
        <v>463</v>
      </c>
      <c r="B266" t="s">
        <v>464</v>
      </c>
      <c r="C266" t="s">
        <v>67</v>
      </c>
      <c r="D266" t="s">
        <v>59</v>
      </c>
      <c r="E266" t="s">
        <v>120</v>
      </c>
      <c r="F266" t="s">
        <v>45</v>
      </c>
      <c r="G266" t="s">
        <v>30</v>
      </c>
      <c r="H266">
        <v>1</v>
      </c>
      <c r="I266">
        <v>55900</v>
      </c>
      <c r="J266">
        <v>55900</v>
      </c>
      <c r="K266" t="s">
        <v>31</v>
      </c>
      <c r="L266" t="s">
        <v>39</v>
      </c>
      <c r="M266" t="b">
        <v>0</v>
      </c>
      <c r="N266" t="s">
        <v>33</v>
      </c>
    </row>
    <row r="267" spans="1:14" x14ac:dyDescent="0.35">
      <c r="A267" t="s">
        <v>465</v>
      </c>
      <c r="B267" t="s">
        <v>349</v>
      </c>
      <c r="C267" t="s">
        <v>50</v>
      </c>
      <c r="D267" t="s">
        <v>51</v>
      </c>
      <c r="E267" t="s">
        <v>80</v>
      </c>
      <c r="F267" t="s">
        <v>81</v>
      </c>
      <c r="G267" t="s">
        <v>30</v>
      </c>
      <c r="H267">
        <v>1</v>
      </c>
      <c r="I267">
        <v>12200</v>
      </c>
      <c r="J267">
        <v>12200</v>
      </c>
      <c r="K267" t="s">
        <v>31</v>
      </c>
      <c r="L267" t="s">
        <v>88</v>
      </c>
      <c r="M267" t="b">
        <v>0</v>
      </c>
      <c r="N267" t="s">
        <v>23</v>
      </c>
    </row>
    <row r="268" spans="1:14" x14ac:dyDescent="0.35">
      <c r="A268" t="s">
        <v>466</v>
      </c>
      <c r="B268" t="s">
        <v>176</v>
      </c>
      <c r="C268" t="s">
        <v>42</v>
      </c>
      <c r="D268" t="s">
        <v>43</v>
      </c>
      <c r="E268" t="s">
        <v>60</v>
      </c>
      <c r="F268" t="s">
        <v>53</v>
      </c>
      <c r="G268" t="s">
        <v>30</v>
      </c>
      <c r="H268">
        <v>1</v>
      </c>
      <c r="I268">
        <v>6700</v>
      </c>
      <c r="J268">
        <v>6700</v>
      </c>
      <c r="K268" t="s">
        <v>70</v>
      </c>
      <c r="L268" t="s">
        <v>55</v>
      </c>
      <c r="M268" t="b">
        <v>0</v>
      </c>
      <c r="N268" t="s">
        <v>23</v>
      </c>
    </row>
    <row r="269" spans="1:14" x14ac:dyDescent="0.35">
      <c r="A269" t="s">
        <v>467</v>
      </c>
      <c r="B269" t="s">
        <v>315</v>
      </c>
      <c r="C269" t="s">
        <v>58</v>
      </c>
      <c r="D269" t="s">
        <v>59</v>
      </c>
      <c r="E269" t="s">
        <v>18</v>
      </c>
      <c r="F269" t="s">
        <v>19</v>
      </c>
      <c r="G269" t="s">
        <v>30</v>
      </c>
      <c r="H269">
        <v>1</v>
      </c>
      <c r="I269">
        <v>21800</v>
      </c>
      <c r="J269">
        <v>21800</v>
      </c>
      <c r="K269" t="s">
        <v>54</v>
      </c>
      <c r="L269" t="s">
        <v>22</v>
      </c>
      <c r="M269" t="b">
        <v>0</v>
      </c>
      <c r="N269" t="s">
        <v>23</v>
      </c>
    </row>
    <row r="270" spans="1:14" x14ac:dyDescent="0.35">
      <c r="A270" t="s">
        <v>468</v>
      </c>
      <c r="B270" t="s">
        <v>454</v>
      </c>
      <c r="C270" t="s">
        <v>67</v>
      </c>
      <c r="D270" t="s">
        <v>59</v>
      </c>
      <c r="E270" t="s">
        <v>36</v>
      </c>
      <c r="F270" t="s">
        <v>37</v>
      </c>
      <c r="G270" t="s">
        <v>30</v>
      </c>
      <c r="H270">
        <v>1</v>
      </c>
      <c r="I270">
        <v>43900</v>
      </c>
      <c r="J270">
        <v>43900</v>
      </c>
      <c r="K270" t="s">
        <v>70</v>
      </c>
      <c r="L270" t="s">
        <v>47</v>
      </c>
      <c r="M270" t="b">
        <v>0</v>
      </c>
      <c r="N270" t="s">
        <v>33</v>
      </c>
    </row>
    <row r="271" spans="1:14" x14ac:dyDescent="0.35">
      <c r="A271" t="s">
        <v>469</v>
      </c>
      <c r="B271" t="s">
        <v>470</v>
      </c>
      <c r="C271" t="s">
        <v>67</v>
      </c>
      <c r="D271" t="s">
        <v>59</v>
      </c>
      <c r="E271" t="s">
        <v>28</v>
      </c>
      <c r="F271" t="s">
        <v>29</v>
      </c>
      <c r="G271" t="s">
        <v>20</v>
      </c>
      <c r="H271">
        <v>1</v>
      </c>
      <c r="I271">
        <v>110000</v>
      </c>
      <c r="J271">
        <v>110000</v>
      </c>
      <c r="K271" t="s">
        <v>31</v>
      </c>
      <c r="L271" t="s">
        <v>55</v>
      </c>
      <c r="M271" t="b">
        <v>0</v>
      </c>
      <c r="N271" t="s">
        <v>33</v>
      </c>
    </row>
    <row r="272" spans="1:14" x14ac:dyDescent="0.35">
      <c r="A272" t="s">
        <v>471</v>
      </c>
      <c r="B272" t="s">
        <v>101</v>
      </c>
      <c r="C272" t="s">
        <v>73</v>
      </c>
      <c r="D272" t="s">
        <v>43</v>
      </c>
      <c r="E272" t="s">
        <v>60</v>
      </c>
      <c r="F272" t="s">
        <v>53</v>
      </c>
      <c r="G272" t="s">
        <v>30</v>
      </c>
      <c r="H272">
        <v>3</v>
      </c>
      <c r="I272">
        <v>7000</v>
      </c>
      <c r="J272">
        <v>21000</v>
      </c>
      <c r="K272" t="s">
        <v>21</v>
      </c>
      <c r="L272" t="s">
        <v>88</v>
      </c>
      <c r="M272" t="b">
        <v>0</v>
      </c>
      <c r="N272" t="s">
        <v>23</v>
      </c>
    </row>
    <row r="273" spans="1:14" x14ac:dyDescent="0.35">
      <c r="A273" t="s">
        <v>472</v>
      </c>
      <c r="B273" t="s">
        <v>473</v>
      </c>
      <c r="C273" t="s">
        <v>65</v>
      </c>
      <c r="D273" t="s">
        <v>27</v>
      </c>
      <c r="E273" t="s">
        <v>44</v>
      </c>
      <c r="F273" t="s">
        <v>45</v>
      </c>
      <c r="G273" t="s">
        <v>30</v>
      </c>
      <c r="H273">
        <v>3</v>
      </c>
      <c r="I273">
        <v>28200</v>
      </c>
      <c r="J273">
        <v>84600</v>
      </c>
      <c r="K273" t="s">
        <v>31</v>
      </c>
      <c r="L273" t="s">
        <v>22</v>
      </c>
      <c r="M273" t="b">
        <v>0</v>
      </c>
      <c r="N273" t="s">
        <v>33</v>
      </c>
    </row>
    <row r="274" spans="1:14" x14ac:dyDescent="0.35">
      <c r="A274" t="s">
        <v>474</v>
      </c>
      <c r="B274" t="s">
        <v>237</v>
      </c>
      <c r="C274" t="s">
        <v>65</v>
      </c>
      <c r="D274" t="s">
        <v>27</v>
      </c>
      <c r="E274" t="s">
        <v>80</v>
      </c>
      <c r="F274" t="s">
        <v>81</v>
      </c>
      <c r="G274" t="s">
        <v>30</v>
      </c>
      <c r="H274">
        <v>1</v>
      </c>
      <c r="I274">
        <v>12700</v>
      </c>
      <c r="J274">
        <v>12700</v>
      </c>
      <c r="K274" t="s">
        <v>54</v>
      </c>
      <c r="L274" t="s">
        <v>39</v>
      </c>
      <c r="M274" t="b">
        <v>0</v>
      </c>
      <c r="N274" t="s">
        <v>23</v>
      </c>
    </row>
    <row r="275" spans="1:14" x14ac:dyDescent="0.35">
      <c r="A275" t="s">
        <v>475</v>
      </c>
      <c r="B275" t="s">
        <v>331</v>
      </c>
      <c r="C275" t="s">
        <v>58</v>
      </c>
      <c r="D275" t="s">
        <v>59</v>
      </c>
      <c r="E275" t="s">
        <v>80</v>
      </c>
      <c r="F275" t="s">
        <v>81</v>
      </c>
      <c r="G275" t="s">
        <v>20</v>
      </c>
      <c r="H275">
        <v>1</v>
      </c>
      <c r="I275">
        <v>11700</v>
      </c>
      <c r="J275">
        <v>11700</v>
      </c>
      <c r="K275" t="s">
        <v>38</v>
      </c>
      <c r="L275" t="s">
        <v>109</v>
      </c>
      <c r="M275" t="b">
        <v>1</v>
      </c>
      <c r="N275" t="s">
        <v>23</v>
      </c>
    </row>
    <row r="276" spans="1:14" x14ac:dyDescent="0.35">
      <c r="A276" t="s">
        <v>476</v>
      </c>
      <c r="B276" t="s">
        <v>477</v>
      </c>
      <c r="C276" t="s">
        <v>65</v>
      </c>
      <c r="D276" t="s">
        <v>27</v>
      </c>
      <c r="E276" t="s">
        <v>102</v>
      </c>
      <c r="F276" t="s">
        <v>29</v>
      </c>
      <c r="G276" t="s">
        <v>20</v>
      </c>
      <c r="H276">
        <v>1</v>
      </c>
      <c r="I276">
        <v>30700</v>
      </c>
      <c r="J276">
        <v>30700</v>
      </c>
      <c r="K276" t="s">
        <v>70</v>
      </c>
      <c r="L276" t="s">
        <v>109</v>
      </c>
      <c r="M276" t="b">
        <v>1</v>
      </c>
      <c r="N276" t="s">
        <v>33</v>
      </c>
    </row>
    <row r="277" spans="1:14" x14ac:dyDescent="0.35">
      <c r="A277" t="s">
        <v>478</v>
      </c>
      <c r="B277" t="s">
        <v>479</v>
      </c>
      <c r="C277" t="s">
        <v>73</v>
      </c>
      <c r="D277" t="s">
        <v>43</v>
      </c>
      <c r="E277" t="s">
        <v>18</v>
      </c>
      <c r="F277" t="s">
        <v>19</v>
      </c>
      <c r="G277" t="s">
        <v>30</v>
      </c>
      <c r="H277">
        <v>2</v>
      </c>
      <c r="I277">
        <v>21100</v>
      </c>
      <c r="J277">
        <v>42200</v>
      </c>
      <c r="K277" t="s">
        <v>38</v>
      </c>
      <c r="L277" t="s">
        <v>39</v>
      </c>
      <c r="M277" t="b">
        <v>0</v>
      </c>
      <c r="N277" t="s">
        <v>23</v>
      </c>
    </row>
    <row r="278" spans="1:14" x14ac:dyDescent="0.35">
      <c r="A278" t="s">
        <v>480</v>
      </c>
      <c r="B278" t="s">
        <v>264</v>
      </c>
      <c r="C278" t="s">
        <v>42</v>
      </c>
      <c r="D278" t="s">
        <v>43</v>
      </c>
      <c r="E278" t="s">
        <v>18</v>
      </c>
      <c r="F278" t="s">
        <v>19</v>
      </c>
      <c r="G278" t="s">
        <v>30</v>
      </c>
      <c r="H278">
        <v>2</v>
      </c>
      <c r="I278">
        <v>21100</v>
      </c>
      <c r="J278">
        <v>42200</v>
      </c>
      <c r="K278" t="s">
        <v>54</v>
      </c>
      <c r="L278" t="s">
        <v>32</v>
      </c>
      <c r="M278" t="b">
        <v>1</v>
      </c>
      <c r="N278" t="s">
        <v>23</v>
      </c>
    </row>
    <row r="279" spans="1:14" x14ac:dyDescent="0.35">
      <c r="A279" t="s">
        <v>481</v>
      </c>
      <c r="B279" t="s">
        <v>449</v>
      </c>
      <c r="C279" t="s">
        <v>16</v>
      </c>
      <c r="D279" t="s">
        <v>17</v>
      </c>
      <c r="E279" t="s">
        <v>52</v>
      </c>
      <c r="F279" t="s">
        <v>53</v>
      </c>
      <c r="G279" t="s">
        <v>30</v>
      </c>
      <c r="H279">
        <v>1</v>
      </c>
      <c r="I279">
        <v>8800</v>
      </c>
      <c r="J279">
        <v>8800</v>
      </c>
      <c r="K279" t="s">
        <v>46</v>
      </c>
      <c r="L279" t="s">
        <v>88</v>
      </c>
      <c r="M279" t="b">
        <v>0</v>
      </c>
      <c r="N279" t="s">
        <v>23</v>
      </c>
    </row>
    <row r="280" spans="1:14" x14ac:dyDescent="0.35">
      <c r="A280" t="s">
        <v>482</v>
      </c>
      <c r="B280" t="s">
        <v>364</v>
      </c>
      <c r="C280" t="s">
        <v>65</v>
      </c>
      <c r="D280" t="s">
        <v>27</v>
      </c>
      <c r="E280" t="s">
        <v>80</v>
      </c>
      <c r="F280" t="s">
        <v>81</v>
      </c>
      <c r="G280" t="s">
        <v>20</v>
      </c>
      <c r="H280">
        <v>4</v>
      </c>
      <c r="I280">
        <v>12400</v>
      </c>
      <c r="J280">
        <v>49600</v>
      </c>
      <c r="K280" t="s">
        <v>21</v>
      </c>
      <c r="L280" t="s">
        <v>88</v>
      </c>
      <c r="M280" t="b">
        <v>0</v>
      </c>
      <c r="N280" t="s">
        <v>23</v>
      </c>
    </row>
    <row r="281" spans="1:14" x14ac:dyDescent="0.35">
      <c r="A281" t="s">
        <v>483</v>
      </c>
      <c r="B281" t="s">
        <v>484</v>
      </c>
      <c r="C281" t="s">
        <v>73</v>
      </c>
      <c r="D281" t="s">
        <v>43</v>
      </c>
      <c r="E281" t="s">
        <v>80</v>
      </c>
      <c r="F281" t="s">
        <v>81</v>
      </c>
      <c r="G281" t="s">
        <v>20</v>
      </c>
      <c r="H281">
        <v>1</v>
      </c>
      <c r="I281">
        <v>12700</v>
      </c>
      <c r="J281">
        <v>12700</v>
      </c>
      <c r="K281" t="s">
        <v>21</v>
      </c>
      <c r="L281" t="s">
        <v>22</v>
      </c>
      <c r="M281" t="b">
        <v>0</v>
      </c>
      <c r="N281" t="s">
        <v>23</v>
      </c>
    </row>
    <row r="282" spans="1:14" x14ac:dyDescent="0.35">
      <c r="A282" t="s">
        <v>485</v>
      </c>
      <c r="B282" t="s">
        <v>249</v>
      </c>
      <c r="C282" t="s">
        <v>26</v>
      </c>
      <c r="D282" t="s">
        <v>27</v>
      </c>
      <c r="E282" t="s">
        <v>44</v>
      </c>
      <c r="F282" t="s">
        <v>45</v>
      </c>
      <c r="G282" t="s">
        <v>30</v>
      </c>
      <c r="H282">
        <v>4</v>
      </c>
      <c r="I282">
        <v>29700</v>
      </c>
      <c r="J282">
        <v>118800</v>
      </c>
      <c r="K282" t="s">
        <v>70</v>
      </c>
      <c r="L282" t="s">
        <v>22</v>
      </c>
      <c r="M282" t="b">
        <v>0</v>
      </c>
      <c r="N282" t="s">
        <v>33</v>
      </c>
    </row>
    <row r="283" spans="1:14" x14ac:dyDescent="0.35">
      <c r="A283" t="s">
        <v>486</v>
      </c>
      <c r="B283" t="s">
        <v>398</v>
      </c>
      <c r="C283" t="s">
        <v>65</v>
      </c>
      <c r="D283" t="s">
        <v>27</v>
      </c>
      <c r="E283" t="s">
        <v>44</v>
      </c>
      <c r="F283" t="s">
        <v>45</v>
      </c>
      <c r="G283" t="s">
        <v>30</v>
      </c>
      <c r="H283">
        <v>4</v>
      </c>
      <c r="I283">
        <v>29700</v>
      </c>
      <c r="J283">
        <v>118800</v>
      </c>
      <c r="K283" t="s">
        <v>38</v>
      </c>
      <c r="L283" t="s">
        <v>47</v>
      </c>
      <c r="M283" t="b">
        <v>0</v>
      </c>
      <c r="N283" t="s">
        <v>33</v>
      </c>
    </row>
    <row r="284" spans="1:14" x14ac:dyDescent="0.35">
      <c r="A284" t="s">
        <v>487</v>
      </c>
      <c r="B284" t="s">
        <v>159</v>
      </c>
      <c r="C284" t="s">
        <v>50</v>
      </c>
      <c r="D284" t="s">
        <v>51</v>
      </c>
      <c r="E284" t="s">
        <v>120</v>
      </c>
      <c r="F284" t="s">
        <v>45</v>
      </c>
      <c r="G284" t="s">
        <v>30</v>
      </c>
      <c r="H284">
        <v>2</v>
      </c>
      <c r="I284">
        <v>51100</v>
      </c>
      <c r="J284">
        <v>102200</v>
      </c>
      <c r="K284" t="s">
        <v>38</v>
      </c>
      <c r="L284" t="s">
        <v>32</v>
      </c>
      <c r="M284" t="b">
        <v>1</v>
      </c>
      <c r="N284" t="s">
        <v>33</v>
      </c>
    </row>
    <row r="285" spans="1:14" x14ac:dyDescent="0.35">
      <c r="A285" t="s">
        <v>488</v>
      </c>
      <c r="B285" t="s">
        <v>489</v>
      </c>
      <c r="C285" t="s">
        <v>65</v>
      </c>
      <c r="D285" t="s">
        <v>27</v>
      </c>
      <c r="E285" t="s">
        <v>52</v>
      </c>
      <c r="F285" t="s">
        <v>53</v>
      </c>
      <c r="G285" t="s">
        <v>30</v>
      </c>
      <c r="H285">
        <v>1</v>
      </c>
      <c r="I285">
        <v>7900</v>
      </c>
      <c r="J285">
        <v>7900</v>
      </c>
      <c r="K285" t="s">
        <v>21</v>
      </c>
      <c r="L285" t="s">
        <v>109</v>
      </c>
      <c r="M285" t="b">
        <v>1</v>
      </c>
      <c r="N285" t="s">
        <v>23</v>
      </c>
    </row>
    <row r="286" spans="1:14" x14ac:dyDescent="0.35">
      <c r="A286" t="s">
        <v>490</v>
      </c>
      <c r="B286" t="s">
        <v>64</v>
      </c>
      <c r="C286" t="s">
        <v>26</v>
      </c>
      <c r="D286" t="s">
        <v>27</v>
      </c>
      <c r="E286" t="s">
        <v>94</v>
      </c>
      <c r="F286" t="s">
        <v>37</v>
      </c>
      <c r="G286" t="s">
        <v>20</v>
      </c>
      <c r="H286">
        <v>1</v>
      </c>
      <c r="I286">
        <v>17900</v>
      </c>
      <c r="J286">
        <v>17900</v>
      </c>
      <c r="K286" t="s">
        <v>46</v>
      </c>
      <c r="L286" t="s">
        <v>47</v>
      </c>
      <c r="M286" t="b">
        <v>0</v>
      </c>
      <c r="N286" t="s">
        <v>23</v>
      </c>
    </row>
    <row r="287" spans="1:14" x14ac:dyDescent="0.35">
      <c r="A287" t="s">
        <v>491</v>
      </c>
      <c r="B287" t="s">
        <v>320</v>
      </c>
      <c r="C287" t="s">
        <v>67</v>
      </c>
      <c r="D287" t="s">
        <v>59</v>
      </c>
      <c r="E287" t="s">
        <v>94</v>
      </c>
      <c r="F287" t="s">
        <v>37</v>
      </c>
      <c r="G287" t="s">
        <v>20</v>
      </c>
      <c r="H287">
        <v>2</v>
      </c>
      <c r="I287">
        <v>17700</v>
      </c>
      <c r="J287">
        <v>35400</v>
      </c>
      <c r="K287" t="s">
        <v>46</v>
      </c>
      <c r="L287" t="s">
        <v>47</v>
      </c>
      <c r="M287" t="b">
        <v>0</v>
      </c>
      <c r="N287" t="s">
        <v>23</v>
      </c>
    </row>
    <row r="288" spans="1:14" x14ac:dyDescent="0.35">
      <c r="A288" t="s">
        <v>492</v>
      </c>
      <c r="B288" t="s">
        <v>224</v>
      </c>
      <c r="C288" t="s">
        <v>58</v>
      </c>
      <c r="D288" t="s">
        <v>59</v>
      </c>
      <c r="E288" t="s">
        <v>36</v>
      </c>
      <c r="F288" t="s">
        <v>37</v>
      </c>
      <c r="G288" t="s">
        <v>20</v>
      </c>
      <c r="H288">
        <v>4</v>
      </c>
      <c r="I288">
        <v>45200</v>
      </c>
      <c r="J288">
        <v>180800</v>
      </c>
      <c r="K288" t="s">
        <v>38</v>
      </c>
      <c r="L288" t="s">
        <v>88</v>
      </c>
      <c r="M288" t="b">
        <v>0</v>
      </c>
      <c r="N288" t="s">
        <v>33</v>
      </c>
    </row>
    <row r="289" spans="1:14" x14ac:dyDescent="0.35">
      <c r="A289" t="s">
        <v>493</v>
      </c>
      <c r="B289" t="s">
        <v>150</v>
      </c>
      <c r="C289" t="s">
        <v>65</v>
      </c>
      <c r="D289" t="s">
        <v>27</v>
      </c>
      <c r="E289" t="s">
        <v>52</v>
      </c>
      <c r="F289" t="s">
        <v>53</v>
      </c>
      <c r="G289" t="s">
        <v>30</v>
      </c>
      <c r="H289">
        <v>2</v>
      </c>
      <c r="I289">
        <v>9100</v>
      </c>
      <c r="J289">
        <v>18200</v>
      </c>
      <c r="K289" t="s">
        <v>70</v>
      </c>
      <c r="L289" t="s">
        <v>88</v>
      </c>
      <c r="M289" t="b">
        <v>0</v>
      </c>
      <c r="N289" t="s">
        <v>23</v>
      </c>
    </row>
    <row r="290" spans="1:14" x14ac:dyDescent="0.35">
      <c r="A290" t="s">
        <v>494</v>
      </c>
      <c r="B290" t="s">
        <v>274</v>
      </c>
      <c r="C290" t="s">
        <v>65</v>
      </c>
      <c r="D290" t="s">
        <v>27</v>
      </c>
      <c r="E290" t="s">
        <v>52</v>
      </c>
      <c r="F290" t="s">
        <v>53</v>
      </c>
      <c r="G290" t="s">
        <v>30</v>
      </c>
      <c r="H290">
        <v>2</v>
      </c>
      <c r="I290">
        <v>8500</v>
      </c>
      <c r="J290">
        <v>17000</v>
      </c>
      <c r="K290" t="s">
        <v>54</v>
      </c>
      <c r="L290" t="s">
        <v>109</v>
      </c>
      <c r="M290" t="b">
        <v>1</v>
      </c>
      <c r="N290" t="s">
        <v>23</v>
      </c>
    </row>
    <row r="291" spans="1:14" x14ac:dyDescent="0.35">
      <c r="A291" t="s">
        <v>495</v>
      </c>
      <c r="B291" t="s">
        <v>267</v>
      </c>
      <c r="C291" t="s">
        <v>42</v>
      </c>
      <c r="D291" t="s">
        <v>43</v>
      </c>
      <c r="E291" t="s">
        <v>102</v>
      </c>
      <c r="F291" t="s">
        <v>29</v>
      </c>
      <c r="G291" t="s">
        <v>30</v>
      </c>
      <c r="H291">
        <v>1</v>
      </c>
      <c r="I291">
        <v>27900</v>
      </c>
      <c r="J291">
        <v>27900</v>
      </c>
      <c r="K291" t="s">
        <v>46</v>
      </c>
      <c r="L291" t="s">
        <v>22</v>
      </c>
      <c r="M291" t="b">
        <v>0</v>
      </c>
      <c r="N291" t="s">
        <v>23</v>
      </c>
    </row>
    <row r="292" spans="1:14" x14ac:dyDescent="0.35">
      <c r="A292" t="s">
        <v>496</v>
      </c>
      <c r="B292" t="s">
        <v>454</v>
      </c>
      <c r="C292" t="s">
        <v>65</v>
      </c>
      <c r="D292" t="s">
        <v>27</v>
      </c>
      <c r="E292" t="s">
        <v>28</v>
      </c>
      <c r="F292" t="s">
        <v>29</v>
      </c>
      <c r="G292" t="s">
        <v>20</v>
      </c>
      <c r="H292">
        <v>2</v>
      </c>
      <c r="I292">
        <v>108600</v>
      </c>
      <c r="J292">
        <v>217200</v>
      </c>
      <c r="K292" t="s">
        <v>70</v>
      </c>
      <c r="L292" t="s">
        <v>47</v>
      </c>
      <c r="M292" t="b">
        <v>0</v>
      </c>
      <c r="N292" t="s">
        <v>33</v>
      </c>
    </row>
    <row r="293" spans="1:14" x14ac:dyDescent="0.35">
      <c r="A293" t="s">
        <v>497</v>
      </c>
      <c r="B293" t="s">
        <v>211</v>
      </c>
      <c r="C293" t="s">
        <v>16</v>
      </c>
      <c r="D293" t="s">
        <v>17</v>
      </c>
      <c r="E293" t="s">
        <v>28</v>
      </c>
      <c r="F293" t="s">
        <v>29</v>
      </c>
      <c r="G293" t="s">
        <v>20</v>
      </c>
      <c r="H293">
        <v>1</v>
      </c>
      <c r="I293">
        <v>121200</v>
      </c>
      <c r="J293">
        <v>121200</v>
      </c>
      <c r="K293" t="s">
        <v>54</v>
      </c>
      <c r="L293" t="s">
        <v>47</v>
      </c>
      <c r="M293" t="b">
        <v>0</v>
      </c>
      <c r="N293" t="s">
        <v>33</v>
      </c>
    </row>
    <row r="294" spans="1:14" x14ac:dyDescent="0.35">
      <c r="A294" t="s">
        <v>498</v>
      </c>
      <c r="B294" t="s">
        <v>262</v>
      </c>
      <c r="C294" t="s">
        <v>67</v>
      </c>
      <c r="D294" t="s">
        <v>59</v>
      </c>
      <c r="E294" t="s">
        <v>36</v>
      </c>
      <c r="F294" t="s">
        <v>37</v>
      </c>
      <c r="G294" t="s">
        <v>20</v>
      </c>
      <c r="H294">
        <v>1</v>
      </c>
      <c r="I294">
        <v>43600</v>
      </c>
      <c r="J294">
        <v>43600</v>
      </c>
      <c r="K294" t="s">
        <v>46</v>
      </c>
      <c r="L294" t="s">
        <v>39</v>
      </c>
      <c r="M294" t="b">
        <v>0</v>
      </c>
      <c r="N294" t="s">
        <v>33</v>
      </c>
    </row>
    <row r="295" spans="1:14" x14ac:dyDescent="0.35">
      <c r="A295" t="s">
        <v>499</v>
      </c>
      <c r="B295" t="s">
        <v>148</v>
      </c>
      <c r="C295" t="s">
        <v>65</v>
      </c>
      <c r="D295" t="s">
        <v>27</v>
      </c>
      <c r="E295" t="s">
        <v>94</v>
      </c>
      <c r="F295" t="s">
        <v>37</v>
      </c>
      <c r="G295" t="s">
        <v>20</v>
      </c>
      <c r="H295">
        <v>2</v>
      </c>
      <c r="I295">
        <v>17100</v>
      </c>
      <c r="J295">
        <v>34200</v>
      </c>
      <c r="K295" t="s">
        <v>31</v>
      </c>
      <c r="L295" t="s">
        <v>47</v>
      </c>
      <c r="M295" t="b">
        <v>0</v>
      </c>
      <c r="N295" t="s">
        <v>23</v>
      </c>
    </row>
    <row r="296" spans="1:14" x14ac:dyDescent="0.35">
      <c r="A296" t="s">
        <v>500</v>
      </c>
      <c r="B296" t="s">
        <v>331</v>
      </c>
      <c r="C296" t="s">
        <v>42</v>
      </c>
      <c r="D296" t="s">
        <v>43</v>
      </c>
      <c r="E296" t="s">
        <v>44</v>
      </c>
      <c r="F296" t="s">
        <v>45</v>
      </c>
      <c r="G296" t="s">
        <v>30</v>
      </c>
      <c r="H296">
        <v>1</v>
      </c>
      <c r="I296">
        <v>26600</v>
      </c>
      <c r="J296">
        <v>26600</v>
      </c>
      <c r="K296" t="s">
        <v>38</v>
      </c>
      <c r="L296" t="s">
        <v>109</v>
      </c>
      <c r="M296" t="b">
        <v>1</v>
      </c>
      <c r="N296" t="s">
        <v>23</v>
      </c>
    </row>
    <row r="297" spans="1:14" x14ac:dyDescent="0.35">
      <c r="A297" t="s">
        <v>501</v>
      </c>
      <c r="B297" t="s">
        <v>305</v>
      </c>
      <c r="C297" t="s">
        <v>67</v>
      </c>
      <c r="D297" t="s">
        <v>59</v>
      </c>
      <c r="E297" t="s">
        <v>52</v>
      </c>
      <c r="F297" t="s">
        <v>53</v>
      </c>
      <c r="G297" t="s">
        <v>30</v>
      </c>
      <c r="H297">
        <v>1</v>
      </c>
      <c r="I297">
        <v>8900</v>
      </c>
      <c r="J297">
        <v>8900</v>
      </c>
      <c r="K297" t="s">
        <v>21</v>
      </c>
      <c r="L297" t="s">
        <v>55</v>
      </c>
      <c r="M297" t="b">
        <v>0</v>
      </c>
      <c r="N297" t="s">
        <v>23</v>
      </c>
    </row>
    <row r="298" spans="1:14" x14ac:dyDescent="0.35">
      <c r="A298" t="s">
        <v>502</v>
      </c>
      <c r="B298" t="s">
        <v>123</v>
      </c>
      <c r="C298" t="s">
        <v>73</v>
      </c>
      <c r="D298" t="s">
        <v>43</v>
      </c>
      <c r="E298" t="s">
        <v>44</v>
      </c>
      <c r="F298" t="s">
        <v>45</v>
      </c>
      <c r="G298" t="s">
        <v>30</v>
      </c>
      <c r="H298">
        <v>2</v>
      </c>
      <c r="I298">
        <v>26900</v>
      </c>
      <c r="J298">
        <v>53800</v>
      </c>
      <c r="K298" t="s">
        <v>31</v>
      </c>
      <c r="L298" t="s">
        <v>32</v>
      </c>
      <c r="M298" t="b">
        <v>1</v>
      </c>
      <c r="N298" t="s">
        <v>23</v>
      </c>
    </row>
    <row r="299" spans="1:14" x14ac:dyDescent="0.35">
      <c r="A299" t="s">
        <v>503</v>
      </c>
      <c r="B299" t="s">
        <v>388</v>
      </c>
      <c r="C299" t="s">
        <v>67</v>
      </c>
      <c r="D299" t="s">
        <v>59</v>
      </c>
      <c r="E299" t="s">
        <v>94</v>
      </c>
      <c r="F299" t="s">
        <v>37</v>
      </c>
      <c r="G299" t="s">
        <v>30</v>
      </c>
      <c r="H299">
        <v>1</v>
      </c>
      <c r="I299">
        <v>19300</v>
      </c>
      <c r="J299">
        <v>19300</v>
      </c>
      <c r="K299" t="s">
        <v>38</v>
      </c>
      <c r="L299" t="s">
        <v>109</v>
      </c>
      <c r="M299" t="b">
        <v>1</v>
      </c>
      <c r="N299" t="s">
        <v>23</v>
      </c>
    </row>
    <row r="300" spans="1:14" x14ac:dyDescent="0.35">
      <c r="A300" t="s">
        <v>504</v>
      </c>
      <c r="B300" t="s">
        <v>505</v>
      </c>
      <c r="C300" t="s">
        <v>58</v>
      </c>
      <c r="D300" t="s">
        <v>59</v>
      </c>
      <c r="E300" t="s">
        <v>74</v>
      </c>
      <c r="F300" t="s">
        <v>75</v>
      </c>
      <c r="G300" t="s">
        <v>30</v>
      </c>
      <c r="H300">
        <v>2</v>
      </c>
      <c r="I300">
        <v>4200</v>
      </c>
      <c r="J300">
        <v>8400</v>
      </c>
      <c r="K300" t="s">
        <v>54</v>
      </c>
      <c r="L300" t="s">
        <v>47</v>
      </c>
      <c r="M300" t="b">
        <v>0</v>
      </c>
      <c r="N300" t="s">
        <v>23</v>
      </c>
    </row>
    <row r="301" spans="1:14" x14ac:dyDescent="0.35">
      <c r="A301" t="s">
        <v>506</v>
      </c>
      <c r="B301" t="s">
        <v>108</v>
      </c>
      <c r="C301" t="s">
        <v>58</v>
      </c>
      <c r="D301" t="s">
        <v>59</v>
      </c>
      <c r="E301" t="s">
        <v>97</v>
      </c>
      <c r="F301" t="s">
        <v>29</v>
      </c>
      <c r="G301" t="s">
        <v>20</v>
      </c>
      <c r="H301">
        <v>3</v>
      </c>
      <c r="I301">
        <v>32200</v>
      </c>
      <c r="J301">
        <v>96600</v>
      </c>
      <c r="K301" t="s">
        <v>70</v>
      </c>
      <c r="L301" t="s">
        <v>109</v>
      </c>
      <c r="M301" t="b">
        <v>1</v>
      </c>
      <c r="N301" t="s">
        <v>33</v>
      </c>
    </row>
    <row r="302" spans="1:14" x14ac:dyDescent="0.35">
      <c r="A302" t="s">
        <v>507</v>
      </c>
      <c r="B302" t="s">
        <v>454</v>
      </c>
      <c r="C302" t="s">
        <v>65</v>
      </c>
      <c r="D302" t="s">
        <v>27</v>
      </c>
      <c r="E302" t="s">
        <v>36</v>
      </c>
      <c r="F302" t="s">
        <v>37</v>
      </c>
      <c r="G302" t="s">
        <v>20</v>
      </c>
      <c r="H302">
        <v>1</v>
      </c>
      <c r="I302">
        <v>39400</v>
      </c>
      <c r="J302">
        <v>39400</v>
      </c>
      <c r="K302" t="s">
        <v>70</v>
      </c>
      <c r="L302" t="s">
        <v>47</v>
      </c>
      <c r="M302" t="b">
        <v>0</v>
      </c>
      <c r="N302" t="s">
        <v>33</v>
      </c>
    </row>
    <row r="303" spans="1:14" x14ac:dyDescent="0.35">
      <c r="A303" t="s">
        <v>508</v>
      </c>
      <c r="B303" t="s">
        <v>142</v>
      </c>
      <c r="C303" t="s">
        <v>58</v>
      </c>
      <c r="D303" t="s">
        <v>59</v>
      </c>
      <c r="E303" t="s">
        <v>18</v>
      </c>
      <c r="F303" t="s">
        <v>19</v>
      </c>
      <c r="G303" t="s">
        <v>30</v>
      </c>
      <c r="H303">
        <v>2</v>
      </c>
      <c r="I303">
        <v>21200</v>
      </c>
      <c r="J303">
        <v>42400</v>
      </c>
      <c r="K303" t="s">
        <v>38</v>
      </c>
      <c r="L303" t="s">
        <v>39</v>
      </c>
      <c r="M303" t="b">
        <v>0</v>
      </c>
      <c r="N303" t="s">
        <v>23</v>
      </c>
    </row>
    <row r="304" spans="1:14" x14ac:dyDescent="0.35">
      <c r="A304" t="s">
        <v>509</v>
      </c>
      <c r="B304" t="s">
        <v>510</v>
      </c>
      <c r="C304" t="s">
        <v>50</v>
      </c>
      <c r="D304" t="s">
        <v>51</v>
      </c>
      <c r="E304" t="s">
        <v>52</v>
      </c>
      <c r="F304" t="s">
        <v>53</v>
      </c>
      <c r="G304" t="s">
        <v>20</v>
      </c>
      <c r="H304">
        <v>2</v>
      </c>
      <c r="I304">
        <v>7800</v>
      </c>
      <c r="J304">
        <v>15600</v>
      </c>
      <c r="K304" t="s">
        <v>21</v>
      </c>
      <c r="L304" t="s">
        <v>39</v>
      </c>
      <c r="M304" t="b">
        <v>0</v>
      </c>
      <c r="N304" t="s">
        <v>23</v>
      </c>
    </row>
    <row r="305" spans="1:14" x14ac:dyDescent="0.35">
      <c r="A305" t="s">
        <v>511</v>
      </c>
      <c r="B305" t="s">
        <v>148</v>
      </c>
      <c r="C305" t="s">
        <v>58</v>
      </c>
      <c r="D305" t="s">
        <v>59</v>
      </c>
      <c r="E305" t="s">
        <v>97</v>
      </c>
      <c r="F305" t="s">
        <v>29</v>
      </c>
      <c r="G305" t="s">
        <v>20</v>
      </c>
      <c r="H305">
        <v>2</v>
      </c>
      <c r="I305">
        <v>30300</v>
      </c>
      <c r="J305">
        <v>60600</v>
      </c>
      <c r="K305" t="s">
        <v>31</v>
      </c>
      <c r="L305" t="s">
        <v>47</v>
      </c>
      <c r="M305" t="b">
        <v>0</v>
      </c>
      <c r="N305" t="s">
        <v>33</v>
      </c>
    </row>
    <row r="306" spans="1:14" x14ac:dyDescent="0.35">
      <c r="A306" t="s">
        <v>512</v>
      </c>
      <c r="B306" t="s">
        <v>291</v>
      </c>
      <c r="C306" t="s">
        <v>58</v>
      </c>
      <c r="D306" t="s">
        <v>59</v>
      </c>
      <c r="E306" t="s">
        <v>36</v>
      </c>
      <c r="F306" t="s">
        <v>37</v>
      </c>
      <c r="G306" t="s">
        <v>20</v>
      </c>
      <c r="H306">
        <v>2</v>
      </c>
      <c r="I306">
        <v>43900</v>
      </c>
      <c r="J306">
        <v>87800</v>
      </c>
      <c r="K306" t="s">
        <v>21</v>
      </c>
      <c r="L306" t="s">
        <v>32</v>
      </c>
      <c r="M306" t="b">
        <v>1</v>
      </c>
      <c r="N306" t="s">
        <v>33</v>
      </c>
    </row>
    <row r="307" spans="1:14" x14ac:dyDescent="0.35">
      <c r="A307" t="s">
        <v>513</v>
      </c>
      <c r="B307" t="s">
        <v>505</v>
      </c>
      <c r="C307" t="s">
        <v>16</v>
      </c>
      <c r="D307" t="s">
        <v>17</v>
      </c>
      <c r="E307" t="s">
        <v>44</v>
      </c>
      <c r="F307" t="s">
        <v>45</v>
      </c>
      <c r="G307" t="s">
        <v>30</v>
      </c>
      <c r="H307">
        <v>1</v>
      </c>
      <c r="I307">
        <v>26300</v>
      </c>
      <c r="J307">
        <v>26300</v>
      </c>
      <c r="K307" t="s">
        <v>54</v>
      </c>
      <c r="L307" t="s">
        <v>47</v>
      </c>
      <c r="M307" t="b">
        <v>0</v>
      </c>
      <c r="N307" t="s">
        <v>23</v>
      </c>
    </row>
    <row r="308" spans="1:14" x14ac:dyDescent="0.35">
      <c r="A308" t="s">
        <v>514</v>
      </c>
      <c r="B308" t="s">
        <v>441</v>
      </c>
      <c r="C308" t="s">
        <v>26</v>
      </c>
      <c r="D308" t="s">
        <v>27</v>
      </c>
      <c r="E308" t="s">
        <v>97</v>
      </c>
      <c r="F308" t="s">
        <v>29</v>
      </c>
      <c r="G308" t="s">
        <v>30</v>
      </c>
      <c r="H308">
        <v>3</v>
      </c>
      <c r="I308">
        <v>29500</v>
      </c>
      <c r="J308">
        <v>88500</v>
      </c>
      <c r="K308" t="s">
        <v>38</v>
      </c>
      <c r="L308" t="s">
        <v>109</v>
      </c>
      <c r="M308" t="b">
        <v>1</v>
      </c>
      <c r="N308" t="s">
        <v>33</v>
      </c>
    </row>
    <row r="309" spans="1:14" x14ac:dyDescent="0.35">
      <c r="A309" t="s">
        <v>515</v>
      </c>
      <c r="B309" t="s">
        <v>15</v>
      </c>
      <c r="C309" t="s">
        <v>26</v>
      </c>
      <c r="D309" t="s">
        <v>27</v>
      </c>
      <c r="E309" t="s">
        <v>28</v>
      </c>
      <c r="F309" t="s">
        <v>29</v>
      </c>
      <c r="G309" t="s">
        <v>30</v>
      </c>
      <c r="H309">
        <v>1</v>
      </c>
      <c r="I309">
        <v>117000</v>
      </c>
      <c r="J309">
        <v>117000</v>
      </c>
      <c r="K309" t="s">
        <v>21</v>
      </c>
      <c r="L309" t="s">
        <v>22</v>
      </c>
      <c r="M309" t="b">
        <v>0</v>
      </c>
      <c r="N309" t="s">
        <v>33</v>
      </c>
    </row>
    <row r="310" spans="1:14" x14ac:dyDescent="0.35">
      <c r="A310" t="s">
        <v>516</v>
      </c>
      <c r="B310" t="s">
        <v>312</v>
      </c>
      <c r="C310" t="s">
        <v>16</v>
      </c>
      <c r="D310" t="s">
        <v>17</v>
      </c>
      <c r="E310" t="s">
        <v>80</v>
      </c>
      <c r="F310" t="s">
        <v>81</v>
      </c>
      <c r="G310" t="s">
        <v>30</v>
      </c>
      <c r="H310">
        <v>1</v>
      </c>
      <c r="I310">
        <v>12800</v>
      </c>
      <c r="J310">
        <v>12800</v>
      </c>
      <c r="K310" t="s">
        <v>54</v>
      </c>
      <c r="L310" t="s">
        <v>32</v>
      </c>
      <c r="M310" t="b">
        <v>1</v>
      </c>
      <c r="N310" t="s">
        <v>23</v>
      </c>
    </row>
    <row r="311" spans="1:14" x14ac:dyDescent="0.35">
      <c r="A311" t="s">
        <v>517</v>
      </c>
      <c r="B311" t="s">
        <v>131</v>
      </c>
      <c r="C311" t="s">
        <v>50</v>
      </c>
      <c r="D311" t="s">
        <v>51</v>
      </c>
      <c r="E311" t="s">
        <v>80</v>
      </c>
      <c r="F311" t="s">
        <v>81</v>
      </c>
      <c r="G311" t="s">
        <v>30</v>
      </c>
      <c r="H311">
        <v>1</v>
      </c>
      <c r="I311">
        <v>11300</v>
      </c>
      <c r="J311">
        <v>11300</v>
      </c>
      <c r="K311" t="s">
        <v>31</v>
      </c>
      <c r="L311" t="s">
        <v>32</v>
      </c>
      <c r="M311" t="b">
        <v>1</v>
      </c>
      <c r="N311" t="s">
        <v>23</v>
      </c>
    </row>
    <row r="312" spans="1:14" x14ac:dyDescent="0.35">
      <c r="A312" t="s">
        <v>518</v>
      </c>
      <c r="B312" t="s">
        <v>300</v>
      </c>
      <c r="C312" t="s">
        <v>73</v>
      </c>
      <c r="D312" t="s">
        <v>43</v>
      </c>
      <c r="E312" t="s">
        <v>94</v>
      </c>
      <c r="F312" t="s">
        <v>37</v>
      </c>
      <c r="G312" t="s">
        <v>20</v>
      </c>
      <c r="H312">
        <v>1</v>
      </c>
      <c r="I312">
        <v>18700</v>
      </c>
      <c r="J312">
        <v>18700</v>
      </c>
      <c r="K312" t="s">
        <v>46</v>
      </c>
      <c r="L312" t="s">
        <v>39</v>
      </c>
      <c r="M312" t="b">
        <v>0</v>
      </c>
      <c r="N312" t="s">
        <v>23</v>
      </c>
    </row>
    <row r="313" spans="1:14" x14ac:dyDescent="0.35">
      <c r="A313" t="s">
        <v>519</v>
      </c>
      <c r="B313" t="s">
        <v>320</v>
      </c>
      <c r="C313" t="s">
        <v>58</v>
      </c>
      <c r="D313" t="s">
        <v>59</v>
      </c>
      <c r="E313" t="s">
        <v>94</v>
      </c>
      <c r="F313" t="s">
        <v>37</v>
      </c>
      <c r="G313" t="s">
        <v>20</v>
      </c>
      <c r="H313">
        <v>2</v>
      </c>
      <c r="I313">
        <v>18700</v>
      </c>
      <c r="J313">
        <v>37400</v>
      </c>
      <c r="K313" t="s">
        <v>46</v>
      </c>
      <c r="L313" t="s">
        <v>47</v>
      </c>
      <c r="M313" t="b">
        <v>0</v>
      </c>
      <c r="N313" t="s">
        <v>23</v>
      </c>
    </row>
    <row r="314" spans="1:14" x14ac:dyDescent="0.35">
      <c r="A314" t="s">
        <v>520</v>
      </c>
      <c r="B314" t="s">
        <v>521</v>
      </c>
      <c r="C314" t="s">
        <v>58</v>
      </c>
      <c r="D314" t="s">
        <v>59</v>
      </c>
      <c r="E314" t="s">
        <v>28</v>
      </c>
      <c r="F314" t="s">
        <v>29</v>
      </c>
      <c r="G314" t="s">
        <v>30</v>
      </c>
      <c r="H314">
        <v>5</v>
      </c>
      <c r="I314">
        <v>120100</v>
      </c>
      <c r="J314">
        <v>600500</v>
      </c>
      <c r="K314" t="s">
        <v>31</v>
      </c>
      <c r="L314" t="s">
        <v>55</v>
      </c>
      <c r="M314" t="b">
        <v>0</v>
      </c>
      <c r="N314" t="s">
        <v>33</v>
      </c>
    </row>
    <row r="315" spans="1:14" x14ac:dyDescent="0.35">
      <c r="A315" t="s">
        <v>522</v>
      </c>
      <c r="B315" t="s">
        <v>473</v>
      </c>
      <c r="C315" t="s">
        <v>58</v>
      </c>
      <c r="D315" t="s">
        <v>59</v>
      </c>
      <c r="E315" t="s">
        <v>74</v>
      </c>
      <c r="F315" t="s">
        <v>75</v>
      </c>
      <c r="G315" t="s">
        <v>30</v>
      </c>
      <c r="H315">
        <v>1</v>
      </c>
      <c r="I315">
        <v>4400</v>
      </c>
      <c r="J315">
        <v>4400</v>
      </c>
      <c r="K315" t="s">
        <v>31</v>
      </c>
      <c r="L315" t="s">
        <v>22</v>
      </c>
      <c r="M315" t="b">
        <v>0</v>
      </c>
      <c r="N315" t="s">
        <v>23</v>
      </c>
    </row>
    <row r="316" spans="1:14" x14ac:dyDescent="0.35">
      <c r="A316" t="s">
        <v>523</v>
      </c>
      <c r="B316" t="s">
        <v>167</v>
      </c>
      <c r="C316" t="s">
        <v>73</v>
      </c>
      <c r="D316" t="s">
        <v>43</v>
      </c>
      <c r="E316" t="s">
        <v>97</v>
      </c>
      <c r="F316" t="s">
        <v>29</v>
      </c>
      <c r="G316" t="s">
        <v>30</v>
      </c>
      <c r="H316">
        <v>1</v>
      </c>
      <c r="I316">
        <v>30100</v>
      </c>
      <c r="J316">
        <v>30100</v>
      </c>
      <c r="K316" t="s">
        <v>31</v>
      </c>
      <c r="L316" t="s">
        <v>109</v>
      </c>
      <c r="M316" t="b">
        <v>1</v>
      </c>
      <c r="N316" t="s">
        <v>33</v>
      </c>
    </row>
    <row r="317" spans="1:14" x14ac:dyDescent="0.35">
      <c r="A317" t="s">
        <v>524</v>
      </c>
      <c r="B317" t="s">
        <v>473</v>
      </c>
      <c r="C317" t="s">
        <v>16</v>
      </c>
      <c r="D317" t="s">
        <v>17</v>
      </c>
      <c r="E317" t="s">
        <v>60</v>
      </c>
      <c r="F317" t="s">
        <v>53</v>
      </c>
      <c r="G317" t="s">
        <v>30</v>
      </c>
      <c r="H317">
        <v>1</v>
      </c>
      <c r="I317">
        <v>7200</v>
      </c>
      <c r="J317">
        <v>7200</v>
      </c>
      <c r="K317" t="s">
        <v>31</v>
      </c>
      <c r="L317" t="s">
        <v>22</v>
      </c>
      <c r="M317" t="b">
        <v>0</v>
      </c>
      <c r="N317" t="s">
        <v>23</v>
      </c>
    </row>
    <row r="318" spans="1:14" x14ac:dyDescent="0.35">
      <c r="A318" t="s">
        <v>525</v>
      </c>
      <c r="B318" t="s">
        <v>404</v>
      </c>
      <c r="C318" t="s">
        <v>67</v>
      </c>
      <c r="D318" t="s">
        <v>59</v>
      </c>
      <c r="E318" t="s">
        <v>94</v>
      </c>
      <c r="F318" t="s">
        <v>37</v>
      </c>
      <c r="G318" t="s">
        <v>20</v>
      </c>
      <c r="H318">
        <v>2</v>
      </c>
      <c r="I318">
        <v>19000</v>
      </c>
      <c r="J318">
        <v>38000</v>
      </c>
      <c r="K318" t="s">
        <v>70</v>
      </c>
      <c r="L318" t="s">
        <v>32</v>
      </c>
      <c r="M318" t="b">
        <v>1</v>
      </c>
      <c r="N318" t="s">
        <v>23</v>
      </c>
    </row>
    <row r="319" spans="1:14" x14ac:dyDescent="0.35">
      <c r="A319" t="s">
        <v>526</v>
      </c>
      <c r="B319" t="s">
        <v>527</v>
      </c>
      <c r="C319" t="s">
        <v>50</v>
      </c>
      <c r="D319" t="s">
        <v>51</v>
      </c>
      <c r="E319" t="s">
        <v>28</v>
      </c>
      <c r="F319" t="s">
        <v>29</v>
      </c>
      <c r="G319" t="s">
        <v>30</v>
      </c>
      <c r="H319">
        <v>2</v>
      </c>
      <c r="I319">
        <v>118000</v>
      </c>
      <c r="J319">
        <v>236000</v>
      </c>
      <c r="K319" t="s">
        <v>31</v>
      </c>
      <c r="L319" t="s">
        <v>22</v>
      </c>
      <c r="M319" t="b">
        <v>0</v>
      </c>
      <c r="N319" t="s">
        <v>33</v>
      </c>
    </row>
    <row r="320" spans="1:14" x14ac:dyDescent="0.35">
      <c r="A320" t="s">
        <v>528</v>
      </c>
      <c r="B320" t="s">
        <v>229</v>
      </c>
      <c r="C320" t="s">
        <v>26</v>
      </c>
      <c r="D320" t="s">
        <v>27</v>
      </c>
      <c r="E320" t="s">
        <v>44</v>
      </c>
      <c r="F320" t="s">
        <v>45</v>
      </c>
      <c r="G320" t="s">
        <v>30</v>
      </c>
      <c r="H320">
        <v>1</v>
      </c>
      <c r="I320">
        <v>25700</v>
      </c>
      <c r="J320">
        <v>25700</v>
      </c>
      <c r="K320" t="s">
        <v>70</v>
      </c>
      <c r="L320" t="s">
        <v>55</v>
      </c>
      <c r="M320" t="b">
        <v>0</v>
      </c>
      <c r="N320" t="s">
        <v>23</v>
      </c>
    </row>
    <row r="321" spans="1:14" x14ac:dyDescent="0.35">
      <c r="A321" t="s">
        <v>529</v>
      </c>
      <c r="B321" t="s">
        <v>57</v>
      </c>
      <c r="C321" t="s">
        <v>73</v>
      </c>
      <c r="D321" t="s">
        <v>43</v>
      </c>
      <c r="E321" t="s">
        <v>74</v>
      </c>
      <c r="F321" t="s">
        <v>75</v>
      </c>
      <c r="G321" t="s">
        <v>30</v>
      </c>
      <c r="H321">
        <v>5</v>
      </c>
      <c r="I321">
        <v>4400</v>
      </c>
      <c r="J321">
        <v>22000</v>
      </c>
      <c r="K321" t="s">
        <v>31</v>
      </c>
      <c r="L321" t="s">
        <v>55</v>
      </c>
      <c r="M321" t="b">
        <v>0</v>
      </c>
      <c r="N321" t="s">
        <v>23</v>
      </c>
    </row>
    <row r="322" spans="1:14" x14ac:dyDescent="0.35">
      <c r="A322" t="s">
        <v>530</v>
      </c>
      <c r="B322" t="s">
        <v>531</v>
      </c>
      <c r="C322" t="s">
        <v>65</v>
      </c>
      <c r="D322" t="s">
        <v>27</v>
      </c>
      <c r="E322" t="s">
        <v>18</v>
      </c>
      <c r="F322" t="s">
        <v>19</v>
      </c>
      <c r="G322" t="s">
        <v>20</v>
      </c>
      <c r="H322">
        <v>2</v>
      </c>
      <c r="I322">
        <v>21300</v>
      </c>
      <c r="J322">
        <v>42600</v>
      </c>
      <c r="K322" t="s">
        <v>38</v>
      </c>
      <c r="L322" t="s">
        <v>22</v>
      </c>
      <c r="M322" t="b">
        <v>0</v>
      </c>
      <c r="N322" t="s">
        <v>23</v>
      </c>
    </row>
    <row r="323" spans="1:14" x14ac:dyDescent="0.35">
      <c r="A323" t="s">
        <v>532</v>
      </c>
      <c r="B323" t="s">
        <v>533</v>
      </c>
      <c r="C323" t="s">
        <v>16</v>
      </c>
      <c r="D323" t="s">
        <v>17</v>
      </c>
      <c r="E323" t="s">
        <v>120</v>
      </c>
      <c r="F323" t="s">
        <v>45</v>
      </c>
      <c r="G323" t="s">
        <v>20</v>
      </c>
      <c r="H323">
        <v>1</v>
      </c>
      <c r="I323">
        <v>53700</v>
      </c>
      <c r="J323">
        <v>53700</v>
      </c>
      <c r="K323" t="s">
        <v>54</v>
      </c>
      <c r="L323" t="s">
        <v>88</v>
      </c>
      <c r="M323" t="b">
        <v>0</v>
      </c>
      <c r="N323" t="s">
        <v>33</v>
      </c>
    </row>
    <row r="324" spans="1:14" x14ac:dyDescent="0.35">
      <c r="A324" t="s">
        <v>534</v>
      </c>
      <c r="B324" t="s">
        <v>15</v>
      </c>
      <c r="C324" t="s">
        <v>73</v>
      </c>
      <c r="D324" t="s">
        <v>43</v>
      </c>
      <c r="E324" t="s">
        <v>97</v>
      </c>
      <c r="F324" t="s">
        <v>29</v>
      </c>
      <c r="G324" t="s">
        <v>30</v>
      </c>
      <c r="H324">
        <v>4</v>
      </c>
      <c r="I324">
        <v>33100</v>
      </c>
      <c r="J324">
        <v>132400</v>
      </c>
      <c r="K324" t="s">
        <v>21</v>
      </c>
      <c r="L324" t="s">
        <v>22</v>
      </c>
      <c r="M324" t="b">
        <v>0</v>
      </c>
      <c r="N324" t="s">
        <v>33</v>
      </c>
    </row>
    <row r="325" spans="1:14" x14ac:dyDescent="0.35">
      <c r="A325" t="s">
        <v>535</v>
      </c>
      <c r="B325" t="s">
        <v>421</v>
      </c>
      <c r="C325" t="s">
        <v>26</v>
      </c>
      <c r="D325" t="s">
        <v>27</v>
      </c>
      <c r="E325" t="s">
        <v>60</v>
      </c>
      <c r="F325" t="s">
        <v>53</v>
      </c>
      <c r="G325" t="s">
        <v>30</v>
      </c>
      <c r="H325">
        <v>1</v>
      </c>
      <c r="I325">
        <v>7300</v>
      </c>
      <c r="J325">
        <v>7300</v>
      </c>
      <c r="K325" t="s">
        <v>38</v>
      </c>
      <c r="L325" t="s">
        <v>88</v>
      </c>
      <c r="M325" t="b">
        <v>0</v>
      </c>
      <c r="N325" t="s">
        <v>23</v>
      </c>
    </row>
    <row r="326" spans="1:14" x14ac:dyDescent="0.35">
      <c r="A326" t="s">
        <v>536</v>
      </c>
      <c r="B326" t="s">
        <v>381</v>
      </c>
      <c r="C326" t="s">
        <v>50</v>
      </c>
      <c r="D326" t="s">
        <v>51</v>
      </c>
      <c r="E326" t="s">
        <v>94</v>
      </c>
      <c r="F326" t="s">
        <v>37</v>
      </c>
      <c r="G326" t="s">
        <v>30</v>
      </c>
      <c r="H326">
        <v>1</v>
      </c>
      <c r="I326">
        <v>19600</v>
      </c>
      <c r="J326">
        <v>19600</v>
      </c>
      <c r="K326" t="s">
        <v>54</v>
      </c>
      <c r="L326" t="s">
        <v>47</v>
      </c>
      <c r="M326" t="b">
        <v>0</v>
      </c>
      <c r="N326" t="s">
        <v>23</v>
      </c>
    </row>
    <row r="327" spans="1:14" x14ac:dyDescent="0.35">
      <c r="A327" t="s">
        <v>537</v>
      </c>
      <c r="B327" t="s">
        <v>318</v>
      </c>
      <c r="C327" t="s">
        <v>50</v>
      </c>
      <c r="D327" t="s">
        <v>51</v>
      </c>
      <c r="E327" t="s">
        <v>28</v>
      </c>
      <c r="F327" t="s">
        <v>29</v>
      </c>
      <c r="G327" t="s">
        <v>30</v>
      </c>
      <c r="H327">
        <v>1</v>
      </c>
      <c r="I327">
        <v>115300</v>
      </c>
      <c r="J327">
        <v>115300</v>
      </c>
      <c r="K327" t="s">
        <v>54</v>
      </c>
      <c r="L327" t="s">
        <v>22</v>
      </c>
      <c r="M327" t="b">
        <v>0</v>
      </c>
      <c r="N327" t="s">
        <v>33</v>
      </c>
    </row>
    <row r="328" spans="1:14" x14ac:dyDescent="0.35">
      <c r="A328" t="s">
        <v>538</v>
      </c>
      <c r="B328" t="s">
        <v>176</v>
      </c>
      <c r="C328" t="s">
        <v>58</v>
      </c>
      <c r="D328" t="s">
        <v>59</v>
      </c>
      <c r="E328" t="s">
        <v>60</v>
      </c>
      <c r="F328" t="s">
        <v>53</v>
      </c>
      <c r="G328" t="s">
        <v>20</v>
      </c>
      <c r="H328">
        <v>3</v>
      </c>
      <c r="I328">
        <v>6500</v>
      </c>
      <c r="J328">
        <v>19500</v>
      </c>
      <c r="K328" t="s">
        <v>70</v>
      </c>
      <c r="L328" t="s">
        <v>55</v>
      </c>
      <c r="M328" t="b">
        <v>0</v>
      </c>
      <c r="N328" t="s">
        <v>23</v>
      </c>
    </row>
    <row r="329" spans="1:14" x14ac:dyDescent="0.35">
      <c r="A329" t="s">
        <v>539</v>
      </c>
      <c r="B329" t="s">
        <v>540</v>
      </c>
      <c r="C329" t="s">
        <v>67</v>
      </c>
      <c r="D329" t="s">
        <v>59</v>
      </c>
      <c r="E329" t="s">
        <v>74</v>
      </c>
      <c r="F329" t="s">
        <v>75</v>
      </c>
      <c r="G329" t="s">
        <v>30</v>
      </c>
      <c r="H329">
        <v>5</v>
      </c>
      <c r="I329">
        <v>4800</v>
      </c>
      <c r="J329">
        <v>24000</v>
      </c>
      <c r="K329" t="s">
        <v>46</v>
      </c>
      <c r="L329" t="s">
        <v>22</v>
      </c>
      <c r="M329" t="b">
        <v>0</v>
      </c>
      <c r="N329" t="s">
        <v>23</v>
      </c>
    </row>
    <row r="330" spans="1:14" x14ac:dyDescent="0.35">
      <c r="A330" t="s">
        <v>541</v>
      </c>
      <c r="B330" t="s">
        <v>449</v>
      </c>
      <c r="C330" t="s">
        <v>58</v>
      </c>
      <c r="D330" t="s">
        <v>59</v>
      </c>
      <c r="E330" t="s">
        <v>97</v>
      </c>
      <c r="F330" t="s">
        <v>29</v>
      </c>
      <c r="G330" t="s">
        <v>30</v>
      </c>
      <c r="H330">
        <v>1</v>
      </c>
      <c r="I330">
        <v>33800</v>
      </c>
      <c r="J330">
        <v>33800</v>
      </c>
      <c r="K330" t="s">
        <v>46</v>
      </c>
      <c r="L330" t="s">
        <v>88</v>
      </c>
      <c r="M330" t="b">
        <v>0</v>
      </c>
      <c r="N330" t="s">
        <v>33</v>
      </c>
    </row>
    <row r="331" spans="1:14" x14ac:dyDescent="0.35">
      <c r="A331" t="s">
        <v>542</v>
      </c>
      <c r="B331" t="s">
        <v>543</v>
      </c>
      <c r="C331" t="s">
        <v>16</v>
      </c>
      <c r="D331" t="s">
        <v>17</v>
      </c>
      <c r="E331" t="s">
        <v>52</v>
      </c>
      <c r="F331" t="s">
        <v>53</v>
      </c>
      <c r="G331" t="s">
        <v>30</v>
      </c>
      <c r="H331">
        <v>1</v>
      </c>
      <c r="I331">
        <v>8100</v>
      </c>
      <c r="J331">
        <v>8100</v>
      </c>
      <c r="K331" t="s">
        <v>31</v>
      </c>
      <c r="L331" t="s">
        <v>88</v>
      </c>
      <c r="M331" t="b">
        <v>0</v>
      </c>
      <c r="N331" t="s">
        <v>23</v>
      </c>
    </row>
    <row r="332" spans="1:14" x14ac:dyDescent="0.35">
      <c r="A332" t="s">
        <v>544</v>
      </c>
      <c r="B332" t="s">
        <v>253</v>
      </c>
      <c r="C332" t="s">
        <v>42</v>
      </c>
      <c r="D332" t="s">
        <v>43</v>
      </c>
      <c r="E332" t="s">
        <v>36</v>
      </c>
      <c r="F332" t="s">
        <v>37</v>
      </c>
      <c r="G332" t="s">
        <v>20</v>
      </c>
      <c r="H332">
        <v>1</v>
      </c>
      <c r="I332">
        <v>39200</v>
      </c>
      <c r="J332">
        <v>39200</v>
      </c>
      <c r="K332" t="s">
        <v>31</v>
      </c>
      <c r="L332" t="s">
        <v>22</v>
      </c>
      <c r="M332" t="b">
        <v>0</v>
      </c>
      <c r="N332" t="s">
        <v>33</v>
      </c>
    </row>
    <row r="333" spans="1:14" x14ac:dyDescent="0.35">
      <c r="A333" t="s">
        <v>545</v>
      </c>
      <c r="B333" t="s">
        <v>546</v>
      </c>
      <c r="C333" t="s">
        <v>73</v>
      </c>
      <c r="D333" t="s">
        <v>43</v>
      </c>
      <c r="E333" t="s">
        <v>36</v>
      </c>
      <c r="F333" t="s">
        <v>37</v>
      </c>
      <c r="G333" t="s">
        <v>30</v>
      </c>
      <c r="H333">
        <v>1</v>
      </c>
      <c r="I333">
        <v>44200</v>
      </c>
      <c r="J333">
        <v>44200</v>
      </c>
      <c r="K333" t="s">
        <v>70</v>
      </c>
      <c r="L333" t="s">
        <v>88</v>
      </c>
      <c r="M333" t="b">
        <v>0</v>
      </c>
      <c r="N333" t="s">
        <v>33</v>
      </c>
    </row>
    <row r="334" spans="1:14" x14ac:dyDescent="0.35">
      <c r="A334" t="s">
        <v>547</v>
      </c>
      <c r="B334" t="s">
        <v>548</v>
      </c>
      <c r="C334" t="s">
        <v>65</v>
      </c>
      <c r="D334" t="s">
        <v>27</v>
      </c>
      <c r="E334" t="s">
        <v>120</v>
      </c>
      <c r="F334" t="s">
        <v>45</v>
      </c>
      <c r="G334" t="s">
        <v>30</v>
      </c>
      <c r="H334">
        <v>3</v>
      </c>
      <c r="I334">
        <v>54400</v>
      </c>
      <c r="J334">
        <v>163200</v>
      </c>
      <c r="K334" t="s">
        <v>54</v>
      </c>
      <c r="L334" t="s">
        <v>55</v>
      </c>
      <c r="M334" t="b">
        <v>0</v>
      </c>
      <c r="N334" t="s">
        <v>33</v>
      </c>
    </row>
    <row r="335" spans="1:14" x14ac:dyDescent="0.35">
      <c r="A335" t="s">
        <v>549</v>
      </c>
      <c r="B335" t="s">
        <v>550</v>
      </c>
      <c r="C335" t="s">
        <v>65</v>
      </c>
      <c r="D335" t="s">
        <v>27</v>
      </c>
      <c r="E335" t="s">
        <v>102</v>
      </c>
      <c r="F335" t="s">
        <v>29</v>
      </c>
      <c r="G335" t="s">
        <v>30</v>
      </c>
      <c r="H335">
        <v>1</v>
      </c>
      <c r="I335">
        <v>27300</v>
      </c>
      <c r="J335">
        <v>27300</v>
      </c>
      <c r="K335" t="s">
        <v>46</v>
      </c>
      <c r="L335" t="s">
        <v>32</v>
      </c>
      <c r="M335" t="b">
        <v>1</v>
      </c>
      <c r="N335" t="s">
        <v>23</v>
      </c>
    </row>
    <row r="336" spans="1:14" x14ac:dyDescent="0.35">
      <c r="A336" t="s">
        <v>551</v>
      </c>
      <c r="B336" t="s">
        <v>270</v>
      </c>
      <c r="C336" t="s">
        <v>73</v>
      </c>
      <c r="D336" t="s">
        <v>43</v>
      </c>
      <c r="E336" t="s">
        <v>120</v>
      </c>
      <c r="F336" t="s">
        <v>45</v>
      </c>
      <c r="G336" t="s">
        <v>20</v>
      </c>
      <c r="H336">
        <v>1</v>
      </c>
      <c r="I336">
        <v>51100</v>
      </c>
      <c r="J336">
        <v>51100</v>
      </c>
      <c r="K336" t="s">
        <v>54</v>
      </c>
      <c r="L336" t="s">
        <v>55</v>
      </c>
      <c r="M336" t="b">
        <v>0</v>
      </c>
      <c r="N336" t="s">
        <v>33</v>
      </c>
    </row>
    <row r="337" spans="1:14" x14ac:dyDescent="0.35">
      <c r="A337" t="s">
        <v>552</v>
      </c>
      <c r="B337" t="s">
        <v>521</v>
      </c>
      <c r="C337" t="s">
        <v>26</v>
      </c>
      <c r="D337" t="s">
        <v>27</v>
      </c>
      <c r="E337" t="s">
        <v>36</v>
      </c>
      <c r="F337" t="s">
        <v>37</v>
      </c>
      <c r="G337" t="s">
        <v>30</v>
      </c>
      <c r="H337">
        <v>1</v>
      </c>
      <c r="I337">
        <v>43700</v>
      </c>
      <c r="J337">
        <v>43700</v>
      </c>
      <c r="K337" t="s">
        <v>31</v>
      </c>
      <c r="L337" t="s">
        <v>55</v>
      </c>
      <c r="M337" t="b">
        <v>0</v>
      </c>
      <c r="N337" t="s">
        <v>33</v>
      </c>
    </row>
    <row r="338" spans="1:14" x14ac:dyDescent="0.35">
      <c r="A338" t="s">
        <v>553</v>
      </c>
      <c r="B338" t="s">
        <v>152</v>
      </c>
      <c r="C338" t="s">
        <v>50</v>
      </c>
      <c r="D338" t="s">
        <v>51</v>
      </c>
      <c r="E338" t="s">
        <v>120</v>
      </c>
      <c r="F338" t="s">
        <v>45</v>
      </c>
      <c r="G338" t="s">
        <v>30</v>
      </c>
      <c r="H338">
        <v>1</v>
      </c>
      <c r="I338">
        <v>56100</v>
      </c>
      <c r="J338">
        <v>56100</v>
      </c>
      <c r="K338" t="s">
        <v>54</v>
      </c>
      <c r="L338" t="s">
        <v>39</v>
      </c>
      <c r="M338" t="b">
        <v>0</v>
      </c>
      <c r="N338" t="s">
        <v>33</v>
      </c>
    </row>
    <row r="339" spans="1:14" x14ac:dyDescent="0.35">
      <c r="A339" t="s">
        <v>554</v>
      </c>
      <c r="B339" t="s">
        <v>307</v>
      </c>
      <c r="C339" t="s">
        <v>73</v>
      </c>
      <c r="D339" t="s">
        <v>43</v>
      </c>
      <c r="E339" t="s">
        <v>94</v>
      </c>
      <c r="F339" t="s">
        <v>37</v>
      </c>
      <c r="G339" t="s">
        <v>30</v>
      </c>
      <c r="H339">
        <v>1</v>
      </c>
      <c r="I339">
        <v>19000</v>
      </c>
      <c r="J339">
        <v>19000</v>
      </c>
      <c r="K339" t="s">
        <v>31</v>
      </c>
      <c r="L339" t="s">
        <v>88</v>
      </c>
      <c r="M339" t="b">
        <v>0</v>
      </c>
      <c r="N339" t="s">
        <v>23</v>
      </c>
    </row>
    <row r="340" spans="1:14" x14ac:dyDescent="0.35">
      <c r="A340" t="s">
        <v>555</v>
      </c>
      <c r="B340" t="s">
        <v>127</v>
      </c>
      <c r="C340" t="s">
        <v>73</v>
      </c>
      <c r="D340" t="s">
        <v>43</v>
      </c>
      <c r="E340" t="s">
        <v>80</v>
      </c>
      <c r="F340" t="s">
        <v>81</v>
      </c>
      <c r="G340" t="s">
        <v>30</v>
      </c>
      <c r="H340">
        <v>2</v>
      </c>
      <c r="I340">
        <v>11300</v>
      </c>
      <c r="J340">
        <v>22600</v>
      </c>
      <c r="K340" t="s">
        <v>46</v>
      </c>
      <c r="L340" t="s">
        <v>109</v>
      </c>
      <c r="M340" t="b">
        <v>1</v>
      </c>
      <c r="N340" t="s">
        <v>23</v>
      </c>
    </row>
    <row r="341" spans="1:14" x14ac:dyDescent="0.35">
      <c r="A341" t="s">
        <v>556</v>
      </c>
      <c r="B341" t="s">
        <v>262</v>
      </c>
      <c r="C341" t="s">
        <v>16</v>
      </c>
      <c r="D341" t="s">
        <v>17</v>
      </c>
      <c r="E341" t="s">
        <v>60</v>
      </c>
      <c r="F341" t="s">
        <v>53</v>
      </c>
      <c r="G341" t="s">
        <v>30</v>
      </c>
      <c r="H341">
        <v>2</v>
      </c>
      <c r="I341">
        <v>7300</v>
      </c>
      <c r="J341">
        <v>14600</v>
      </c>
      <c r="K341" t="s">
        <v>46</v>
      </c>
      <c r="L341" t="s">
        <v>39</v>
      </c>
      <c r="M341" t="b">
        <v>0</v>
      </c>
      <c r="N341" t="s">
        <v>23</v>
      </c>
    </row>
    <row r="342" spans="1:14" x14ac:dyDescent="0.35">
      <c r="A342" t="s">
        <v>557</v>
      </c>
      <c r="B342" t="s">
        <v>253</v>
      </c>
      <c r="C342" t="s">
        <v>50</v>
      </c>
      <c r="D342" t="s">
        <v>51</v>
      </c>
      <c r="E342" t="s">
        <v>52</v>
      </c>
      <c r="F342" t="s">
        <v>53</v>
      </c>
      <c r="G342" t="s">
        <v>20</v>
      </c>
      <c r="H342">
        <v>1</v>
      </c>
      <c r="I342">
        <v>8700</v>
      </c>
      <c r="J342">
        <v>8700</v>
      </c>
      <c r="K342" t="s">
        <v>31</v>
      </c>
      <c r="L342" t="s">
        <v>22</v>
      </c>
      <c r="M342" t="b">
        <v>0</v>
      </c>
      <c r="N342" t="s">
        <v>23</v>
      </c>
    </row>
    <row r="343" spans="1:14" x14ac:dyDescent="0.35">
      <c r="A343" t="s">
        <v>558</v>
      </c>
      <c r="B343" t="s">
        <v>111</v>
      </c>
      <c r="C343" t="s">
        <v>73</v>
      </c>
      <c r="D343" t="s">
        <v>43</v>
      </c>
      <c r="E343" t="s">
        <v>28</v>
      </c>
      <c r="F343" t="s">
        <v>29</v>
      </c>
      <c r="G343" t="s">
        <v>20</v>
      </c>
      <c r="H343">
        <v>1</v>
      </c>
      <c r="I343">
        <v>113300</v>
      </c>
      <c r="J343">
        <v>113300</v>
      </c>
      <c r="K343" t="s">
        <v>31</v>
      </c>
      <c r="L343" t="s">
        <v>22</v>
      </c>
      <c r="M343" t="b">
        <v>0</v>
      </c>
      <c r="N343" t="s">
        <v>33</v>
      </c>
    </row>
    <row r="344" spans="1:14" x14ac:dyDescent="0.35">
      <c r="A344" t="s">
        <v>559</v>
      </c>
      <c r="B344" t="s">
        <v>381</v>
      </c>
      <c r="C344" t="s">
        <v>73</v>
      </c>
      <c r="D344" t="s">
        <v>43</v>
      </c>
      <c r="E344" t="s">
        <v>28</v>
      </c>
      <c r="F344" t="s">
        <v>29</v>
      </c>
      <c r="G344" t="s">
        <v>20</v>
      </c>
      <c r="H344">
        <v>1</v>
      </c>
      <c r="I344">
        <v>119400</v>
      </c>
      <c r="J344">
        <v>119400</v>
      </c>
      <c r="K344" t="s">
        <v>54</v>
      </c>
      <c r="L344" t="s">
        <v>47</v>
      </c>
      <c r="M344" t="b">
        <v>0</v>
      </c>
      <c r="N344" t="s">
        <v>33</v>
      </c>
    </row>
    <row r="345" spans="1:14" x14ac:dyDescent="0.35">
      <c r="A345" t="s">
        <v>560</v>
      </c>
      <c r="B345" t="s">
        <v>375</v>
      </c>
      <c r="C345" t="s">
        <v>42</v>
      </c>
      <c r="D345" t="s">
        <v>43</v>
      </c>
      <c r="E345" t="s">
        <v>52</v>
      </c>
      <c r="F345" t="s">
        <v>53</v>
      </c>
      <c r="G345" t="s">
        <v>30</v>
      </c>
      <c r="H345">
        <v>1</v>
      </c>
      <c r="I345">
        <v>8700</v>
      </c>
      <c r="J345">
        <v>8700</v>
      </c>
      <c r="K345" t="s">
        <v>38</v>
      </c>
      <c r="L345" t="s">
        <v>55</v>
      </c>
      <c r="M345" t="b">
        <v>0</v>
      </c>
      <c r="N345" t="s">
        <v>23</v>
      </c>
    </row>
    <row r="346" spans="1:14" x14ac:dyDescent="0.35">
      <c r="A346" t="s">
        <v>561</v>
      </c>
      <c r="B346" t="s">
        <v>489</v>
      </c>
      <c r="C346" t="s">
        <v>67</v>
      </c>
      <c r="D346" t="s">
        <v>59</v>
      </c>
      <c r="E346" t="s">
        <v>60</v>
      </c>
      <c r="F346" t="s">
        <v>53</v>
      </c>
      <c r="G346" t="s">
        <v>30</v>
      </c>
      <c r="H346">
        <v>1</v>
      </c>
      <c r="I346">
        <v>7100</v>
      </c>
      <c r="J346">
        <v>7100</v>
      </c>
      <c r="K346" t="s">
        <v>21</v>
      </c>
      <c r="L346" t="s">
        <v>109</v>
      </c>
      <c r="M346" t="b">
        <v>1</v>
      </c>
      <c r="N346" t="s">
        <v>23</v>
      </c>
    </row>
    <row r="347" spans="1:14" x14ac:dyDescent="0.35">
      <c r="A347" t="s">
        <v>562</v>
      </c>
      <c r="B347" t="s">
        <v>379</v>
      </c>
      <c r="C347" t="s">
        <v>50</v>
      </c>
      <c r="D347" t="s">
        <v>51</v>
      </c>
      <c r="E347" t="s">
        <v>120</v>
      </c>
      <c r="F347" t="s">
        <v>45</v>
      </c>
      <c r="G347" t="s">
        <v>20</v>
      </c>
      <c r="H347">
        <v>3</v>
      </c>
      <c r="I347">
        <v>52300</v>
      </c>
      <c r="J347">
        <v>156900</v>
      </c>
      <c r="K347" t="s">
        <v>38</v>
      </c>
      <c r="L347" t="s">
        <v>55</v>
      </c>
      <c r="M347" t="b">
        <v>0</v>
      </c>
      <c r="N347" t="s">
        <v>33</v>
      </c>
    </row>
    <row r="348" spans="1:14" x14ac:dyDescent="0.35">
      <c r="A348" t="s">
        <v>563</v>
      </c>
      <c r="B348" t="s">
        <v>449</v>
      </c>
      <c r="C348" t="s">
        <v>65</v>
      </c>
      <c r="D348" t="s">
        <v>27</v>
      </c>
      <c r="E348" t="s">
        <v>80</v>
      </c>
      <c r="F348" t="s">
        <v>81</v>
      </c>
      <c r="G348" t="s">
        <v>30</v>
      </c>
      <c r="H348">
        <v>1</v>
      </c>
      <c r="I348">
        <v>11300</v>
      </c>
      <c r="J348">
        <v>11300</v>
      </c>
      <c r="K348" t="s">
        <v>46</v>
      </c>
      <c r="L348" t="s">
        <v>88</v>
      </c>
      <c r="M348" t="b">
        <v>0</v>
      </c>
      <c r="N348" t="s">
        <v>23</v>
      </c>
    </row>
    <row r="349" spans="1:14" x14ac:dyDescent="0.35">
      <c r="A349" t="s">
        <v>564</v>
      </c>
      <c r="B349" t="s">
        <v>352</v>
      </c>
      <c r="C349" t="s">
        <v>58</v>
      </c>
      <c r="D349" t="s">
        <v>59</v>
      </c>
      <c r="E349" t="s">
        <v>102</v>
      </c>
      <c r="F349" t="s">
        <v>29</v>
      </c>
      <c r="G349" t="s">
        <v>20</v>
      </c>
      <c r="H349">
        <v>2</v>
      </c>
      <c r="I349">
        <v>27700</v>
      </c>
      <c r="J349">
        <v>55400</v>
      </c>
      <c r="K349" t="s">
        <v>54</v>
      </c>
      <c r="L349" t="s">
        <v>22</v>
      </c>
      <c r="M349" t="b">
        <v>0</v>
      </c>
      <c r="N349" t="s">
        <v>23</v>
      </c>
    </row>
    <row r="350" spans="1:14" x14ac:dyDescent="0.35">
      <c r="A350" t="s">
        <v>565</v>
      </c>
      <c r="B350" t="s">
        <v>35</v>
      </c>
      <c r="C350" t="s">
        <v>16</v>
      </c>
      <c r="D350" t="s">
        <v>17</v>
      </c>
      <c r="E350" t="s">
        <v>36</v>
      </c>
      <c r="F350" t="s">
        <v>37</v>
      </c>
      <c r="G350" t="s">
        <v>30</v>
      </c>
      <c r="H350">
        <v>1</v>
      </c>
      <c r="I350">
        <v>41600</v>
      </c>
      <c r="J350">
        <v>41600</v>
      </c>
      <c r="K350" t="s">
        <v>38</v>
      </c>
      <c r="L350" t="s">
        <v>39</v>
      </c>
      <c r="M350" t="b">
        <v>0</v>
      </c>
      <c r="N350" t="s">
        <v>33</v>
      </c>
    </row>
    <row r="351" spans="1:14" x14ac:dyDescent="0.35">
      <c r="A351" t="s">
        <v>566</v>
      </c>
      <c r="B351" t="s">
        <v>165</v>
      </c>
      <c r="C351" t="s">
        <v>65</v>
      </c>
      <c r="D351" t="s">
        <v>27</v>
      </c>
      <c r="E351" t="s">
        <v>102</v>
      </c>
      <c r="F351" t="s">
        <v>29</v>
      </c>
      <c r="G351" t="s">
        <v>30</v>
      </c>
      <c r="H351">
        <v>1</v>
      </c>
      <c r="I351">
        <v>31500</v>
      </c>
      <c r="J351">
        <v>31500</v>
      </c>
      <c r="K351" t="s">
        <v>21</v>
      </c>
      <c r="L351" t="s">
        <v>39</v>
      </c>
      <c r="M351" t="b">
        <v>0</v>
      </c>
      <c r="N351" t="s">
        <v>33</v>
      </c>
    </row>
    <row r="352" spans="1:14" x14ac:dyDescent="0.35">
      <c r="A352" t="s">
        <v>567</v>
      </c>
      <c r="B352" t="s">
        <v>322</v>
      </c>
      <c r="C352" t="s">
        <v>73</v>
      </c>
      <c r="D352" t="s">
        <v>43</v>
      </c>
      <c r="E352" t="s">
        <v>120</v>
      </c>
      <c r="F352" t="s">
        <v>45</v>
      </c>
      <c r="G352" t="s">
        <v>30</v>
      </c>
      <c r="H352">
        <v>1</v>
      </c>
      <c r="I352">
        <v>57700</v>
      </c>
      <c r="J352">
        <v>57700</v>
      </c>
      <c r="K352" t="s">
        <v>46</v>
      </c>
      <c r="L352" t="s">
        <v>55</v>
      </c>
      <c r="M352" t="b">
        <v>0</v>
      </c>
      <c r="N352" t="s">
        <v>33</v>
      </c>
    </row>
    <row r="353" spans="1:14" x14ac:dyDescent="0.35">
      <c r="A353" t="s">
        <v>568</v>
      </c>
      <c r="B353" t="s">
        <v>569</v>
      </c>
      <c r="C353" t="s">
        <v>73</v>
      </c>
      <c r="D353" t="s">
        <v>43</v>
      </c>
      <c r="E353" t="s">
        <v>36</v>
      </c>
      <c r="F353" t="s">
        <v>37</v>
      </c>
      <c r="G353" t="s">
        <v>30</v>
      </c>
      <c r="H353">
        <v>1</v>
      </c>
      <c r="I353">
        <v>40200</v>
      </c>
      <c r="J353">
        <v>40200</v>
      </c>
      <c r="K353" t="s">
        <v>70</v>
      </c>
      <c r="L353" t="s">
        <v>39</v>
      </c>
      <c r="M353" t="b">
        <v>0</v>
      </c>
      <c r="N353" t="s">
        <v>33</v>
      </c>
    </row>
    <row r="354" spans="1:14" x14ac:dyDescent="0.35">
      <c r="A354" t="s">
        <v>570</v>
      </c>
      <c r="B354" t="s">
        <v>358</v>
      </c>
      <c r="C354" t="s">
        <v>58</v>
      </c>
      <c r="D354" t="s">
        <v>59</v>
      </c>
      <c r="E354" t="s">
        <v>18</v>
      </c>
      <c r="F354" t="s">
        <v>19</v>
      </c>
      <c r="G354" t="s">
        <v>30</v>
      </c>
      <c r="H354">
        <v>1</v>
      </c>
      <c r="I354">
        <v>21100</v>
      </c>
      <c r="J354">
        <v>21100</v>
      </c>
      <c r="K354" t="s">
        <v>21</v>
      </c>
      <c r="L354" t="s">
        <v>47</v>
      </c>
      <c r="M354" t="b">
        <v>0</v>
      </c>
      <c r="N354" t="s">
        <v>23</v>
      </c>
    </row>
    <row r="355" spans="1:14" x14ac:dyDescent="0.35">
      <c r="A355" t="s">
        <v>571</v>
      </c>
      <c r="B355" t="s">
        <v>572</v>
      </c>
      <c r="C355" t="s">
        <v>73</v>
      </c>
      <c r="D355" t="s">
        <v>43</v>
      </c>
      <c r="E355" t="s">
        <v>18</v>
      </c>
      <c r="F355" t="s">
        <v>19</v>
      </c>
      <c r="G355" t="s">
        <v>30</v>
      </c>
      <c r="H355">
        <v>1</v>
      </c>
      <c r="I355">
        <v>20500</v>
      </c>
      <c r="J355">
        <v>20500</v>
      </c>
      <c r="K355" t="s">
        <v>21</v>
      </c>
      <c r="L355" t="s">
        <v>32</v>
      </c>
      <c r="M355" t="b">
        <v>1</v>
      </c>
      <c r="N355" t="s">
        <v>23</v>
      </c>
    </row>
    <row r="356" spans="1:14" x14ac:dyDescent="0.35">
      <c r="A356" t="s">
        <v>573</v>
      </c>
      <c r="B356" t="s">
        <v>574</v>
      </c>
      <c r="C356" t="s">
        <v>58</v>
      </c>
      <c r="D356" t="s">
        <v>59</v>
      </c>
      <c r="E356" t="s">
        <v>97</v>
      </c>
      <c r="F356" t="s">
        <v>29</v>
      </c>
      <c r="G356" t="s">
        <v>20</v>
      </c>
      <c r="H356">
        <v>1</v>
      </c>
      <c r="I356">
        <v>34200</v>
      </c>
      <c r="J356">
        <v>34200</v>
      </c>
      <c r="K356" t="s">
        <v>54</v>
      </c>
      <c r="L356" t="s">
        <v>55</v>
      </c>
      <c r="M356" t="b">
        <v>0</v>
      </c>
      <c r="N356" t="s">
        <v>33</v>
      </c>
    </row>
    <row r="357" spans="1:14" x14ac:dyDescent="0.35">
      <c r="A357" t="s">
        <v>575</v>
      </c>
      <c r="B357" t="s">
        <v>360</v>
      </c>
      <c r="C357" t="s">
        <v>73</v>
      </c>
      <c r="D357" t="s">
        <v>43</v>
      </c>
      <c r="E357" t="s">
        <v>28</v>
      </c>
      <c r="F357" t="s">
        <v>29</v>
      </c>
      <c r="G357" t="s">
        <v>20</v>
      </c>
      <c r="H357">
        <v>1</v>
      </c>
      <c r="I357">
        <v>123700</v>
      </c>
      <c r="J357">
        <v>123700</v>
      </c>
      <c r="K357" t="s">
        <v>21</v>
      </c>
      <c r="L357" t="s">
        <v>88</v>
      </c>
      <c r="M357" t="b">
        <v>0</v>
      </c>
      <c r="N357" t="s">
        <v>33</v>
      </c>
    </row>
    <row r="358" spans="1:14" x14ac:dyDescent="0.35">
      <c r="A358" t="s">
        <v>576</v>
      </c>
      <c r="B358" t="s">
        <v>140</v>
      </c>
      <c r="C358" t="s">
        <v>26</v>
      </c>
      <c r="D358" t="s">
        <v>27</v>
      </c>
      <c r="E358" t="s">
        <v>97</v>
      </c>
      <c r="F358" t="s">
        <v>29</v>
      </c>
      <c r="G358" t="s">
        <v>30</v>
      </c>
      <c r="H358">
        <v>2</v>
      </c>
      <c r="I358">
        <v>32400</v>
      </c>
      <c r="J358">
        <v>64800</v>
      </c>
      <c r="K358" t="s">
        <v>38</v>
      </c>
      <c r="L358" t="s">
        <v>32</v>
      </c>
      <c r="M358" t="b">
        <v>1</v>
      </c>
      <c r="N358" t="s">
        <v>33</v>
      </c>
    </row>
    <row r="359" spans="1:14" x14ac:dyDescent="0.35">
      <c r="A359" t="s">
        <v>577</v>
      </c>
      <c r="B359" t="s">
        <v>176</v>
      </c>
      <c r="C359" t="s">
        <v>67</v>
      </c>
      <c r="D359" t="s">
        <v>59</v>
      </c>
      <c r="E359" t="s">
        <v>74</v>
      </c>
      <c r="F359" t="s">
        <v>75</v>
      </c>
      <c r="G359" t="s">
        <v>30</v>
      </c>
      <c r="H359">
        <v>2</v>
      </c>
      <c r="I359">
        <v>4600</v>
      </c>
      <c r="J359">
        <v>9200</v>
      </c>
      <c r="K359" t="s">
        <v>70</v>
      </c>
      <c r="L359" t="s">
        <v>55</v>
      </c>
      <c r="M359" t="b">
        <v>0</v>
      </c>
      <c r="N359" t="s">
        <v>23</v>
      </c>
    </row>
    <row r="360" spans="1:14" x14ac:dyDescent="0.35">
      <c r="A360" t="s">
        <v>578</v>
      </c>
      <c r="B360" t="s">
        <v>543</v>
      </c>
      <c r="C360" t="s">
        <v>42</v>
      </c>
      <c r="D360" t="s">
        <v>43</v>
      </c>
      <c r="E360" t="s">
        <v>102</v>
      </c>
      <c r="F360" t="s">
        <v>29</v>
      </c>
      <c r="G360" t="s">
        <v>30</v>
      </c>
      <c r="H360">
        <v>1</v>
      </c>
      <c r="I360">
        <v>29300</v>
      </c>
      <c r="J360">
        <v>29300</v>
      </c>
      <c r="K360" t="s">
        <v>31</v>
      </c>
      <c r="L360" t="s">
        <v>88</v>
      </c>
      <c r="M360" t="b">
        <v>0</v>
      </c>
      <c r="N360" t="s">
        <v>33</v>
      </c>
    </row>
    <row r="361" spans="1:14" x14ac:dyDescent="0.35">
      <c r="A361" t="s">
        <v>579</v>
      </c>
      <c r="B361" t="s">
        <v>362</v>
      </c>
      <c r="C361" t="s">
        <v>65</v>
      </c>
      <c r="D361" t="s">
        <v>27</v>
      </c>
      <c r="E361" t="s">
        <v>97</v>
      </c>
      <c r="F361" t="s">
        <v>29</v>
      </c>
      <c r="G361" t="s">
        <v>30</v>
      </c>
      <c r="H361">
        <v>1</v>
      </c>
      <c r="I361">
        <v>31500</v>
      </c>
      <c r="J361">
        <v>31500</v>
      </c>
      <c r="K361" t="s">
        <v>70</v>
      </c>
      <c r="L361" t="s">
        <v>39</v>
      </c>
      <c r="M361" t="b">
        <v>0</v>
      </c>
      <c r="N361" t="s">
        <v>33</v>
      </c>
    </row>
    <row r="362" spans="1:14" x14ac:dyDescent="0.35">
      <c r="A362" t="s">
        <v>580</v>
      </c>
      <c r="B362" t="s">
        <v>79</v>
      </c>
      <c r="C362" t="s">
        <v>42</v>
      </c>
      <c r="D362" t="s">
        <v>43</v>
      </c>
      <c r="E362" t="s">
        <v>60</v>
      </c>
      <c r="F362" t="s">
        <v>53</v>
      </c>
      <c r="G362" t="s">
        <v>20</v>
      </c>
      <c r="H362">
        <v>3</v>
      </c>
      <c r="I362">
        <v>6400</v>
      </c>
      <c r="J362">
        <v>19200</v>
      </c>
      <c r="K362" t="s">
        <v>21</v>
      </c>
      <c r="L362" t="s">
        <v>39</v>
      </c>
      <c r="M362" t="b">
        <v>0</v>
      </c>
      <c r="N362" t="s">
        <v>23</v>
      </c>
    </row>
    <row r="363" spans="1:14" x14ac:dyDescent="0.35">
      <c r="A363" t="s">
        <v>581</v>
      </c>
      <c r="B363" t="s">
        <v>197</v>
      </c>
      <c r="C363" t="s">
        <v>26</v>
      </c>
      <c r="D363" t="s">
        <v>27</v>
      </c>
      <c r="E363" t="s">
        <v>80</v>
      </c>
      <c r="F363" t="s">
        <v>81</v>
      </c>
      <c r="G363" t="s">
        <v>30</v>
      </c>
      <c r="H363">
        <v>3</v>
      </c>
      <c r="I363">
        <v>11500</v>
      </c>
      <c r="J363">
        <v>34500</v>
      </c>
      <c r="K363" t="s">
        <v>46</v>
      </c>
      <c r="L363" t="s">
        <v>22</v>
      </c>
      <c r="M363" t="b">
        <v>0</v>
      </c>
      <c r="N363" t="s">
        <v>23</v>
      </c>
    </row>
    <row r="364" spans="1:14" x14ac:dyDescent="0.35">
      <c r="A364" t="s">
        <v>582</v>
      </c>
      <c r="B364" t="s">
        <v>96</v>
      </c>
      <c r="C364" t="s">
        <v>73</v>
      </c>
      <c r="D364" t="s">
        <v>43</v>
      </c>
      <c r="E364" t="s">
        <v>28</v>
      </c>
      <c r="F364" t="s">
        <v>29</v>
      </c>
      <c r="G364" t="s">
        <v>20</v>
      </c>
      <c r="H364">
        <v>2</v>
      </c>
      <c r="I364">
        <v>112000</v>
      </c>
      <c r="J364">
        <v>224000</v>
      </c>
      <c r="K364" t="s">
        <v>38</v>
      </c>
      <c r="L364" t="s">
        <v>88</v>
      </c>
      <c r="M364" t="b">
        <v>0</v>
      </c>
      <c r="N364" t="s">
        <v>33</v>
      </c>
    </row>
    <row r="365" spans="1:14" x14ac:dyDescent="0.35">
      <c r="A365" t="s">
        <v>583</v>
      </c>
      <c r="B365" t="s">
        <v>106</v>
      </c>
      <c r="C365" t="s">
        <v>58</v>
      </c>
      <c r="D365" t="s">
        <v>59</v>
      </c>
      <c r="E365" t="s">
        <v>80</v>
      </c>
      <c r="F365" t="s">
        <v>81</v>
      </c>
      <c r="G365" t="s">
        <v>30</v>
      </c>
      <c r="H365">
        <v>1</v>
      </c>
      <c r="I365">
        <v>12900</v>
      </c>
      <c r="J365">
        <v>12900</v>
      </c>
      <c r="K365" t="s">
        <v>21</v>
      </c>
      <c r="L365" t="s">
        <v>22</v>
      </c>
      <c r="M365" t="b">
        <v>0</v>
      </c>
      <c r="N365" t="s">
        <v>23</v>
      </c>
    </row>
    <row r="366" spans="1:14" x14ac:dyDescent="0.35">
      <c r="A366" t="s">
        <v>584</v>
      </c>
      <c r="B366" t="s">
        <v>285</v>
      </c>
      <c r="C366" t="s">
        <v>26</v>
      </c>
      <c r="D366" t="s">
        <v>27</v>
      </c>
      <c r="E366" t="s">
        <v>28</v>
      </c>
      <c r="F366" t="s">
        <v>29</v>
      </c>
      <c r="G366" t="s">
        <v>30</v>
      </c>
      <c r="H366">
        <v>4</v>
      </c>
      <c r="I366">
        <v>124000</v>
      </c>
      <c r="J366">
        <v>496000</v>
      </c>
      <c r="K366" t="s">
        <v>38</v>
      </c>
      <c r="L366" t="s">
        <v>109</v>
      </c>
      <c r="M366" t="b">
        <v>1</v>
      </c>
      <c r="N366" t="s">
        <v>33</v>
      </c>
    </row>
    <row r="367" spans="1:14" x14ac:dyDescent="0.35">
      <c r="A367" t="s">
        <v>585</v>
      </c>
      <c r="B367" t="s">
        <v>379</v>
      </c>
      <c r="C367" t="s">
        <v>58</v>
      </c>
      <c r="D367" t="s">
        <v>59</v>
      </c>
      <c r="E367" t="s">
        <v>18</v>
      </c>
      <c r="F367" t="s">
        <v>19</v>
      </c>
      <c r="G367" t="s">
        <v>20</v>
      </c>
      <c r="H367">
        <v>1</v>
      </c>
      <c r="I367">
        <v>23400</v>
      </c>
      <c r="J367">
        <v>23400</v>
      </c>
      <c r="K367" t="s">
        <v>38</v>
      </c>
      <c r="L367" t="s">
        <v>55</v>
      </c>
      <c r="M367" t="b">
        <v>0</v>
      </c>
      <c r="N367" t="s">
        <v>23</v>
      </c>
    </row>
    <row r="368" spans="1:14" x14ac:dyDescent="0.35">
      <c r="A368" t="s">
        <v>586</v>
      </c>
      <c r="B368" t="s">
        <v>146</v>
      </c>
      <c r="C368" t="s">
        <v>16</v>
      </c>
      <c r="D368" t="s">
        <v>17</v>
      </c>
      <c r="E368" t="s">
        <v>94</v>
      </c>
      <c r="F368" t="s">
        <v>37</v>
      </c>
      <c r="G368" t="s">
        <v>30</v>
      </c>
      <c r="H368">
        <v>2</v>
      </c>
      <c r="I368">
        <v>18200</v>
      </c>
      <c r="J368">
        <v>36400</v>
      </c>
      <c r="K368" t="s">
        <v>54</v>
      </c>
      <c r="L368" t="s">
        <v>22</v>
      </c>
      <c r="M368" t="b">
        <v>0</v>
      </c>
      <c r="N368" t="s">
        <v>23</v>
      </c>
    </row>
    <row r="369" spans="1:14" x14ac:dyDescent="0.35">
      <c r="A369" t="s">
        <v>587</v>
      </c>
      <c r="B369" t="s">
        <v>152</v>
      </c>
      <c r="C369" t="s">
        <v>42</v>
      </c>
      <c r="D369" t="s">
        <v>43</v>
      </c>
      <c r="E369" t="s">
        <v>102</v>
      </c>
      <c r="F369" t="s">
        <v>29</v>
      </c>
      <c r="G369" t="s">
        <v>20</v>
      </c>
      <c r="H369">
        <v>1</v>
      </c>
      <c r="I369">
        <v>31000</v>
      </c>
      <c r="J369">
        <v>31000</v>
      </c>
      <c r="K369" t="s">
        <v>54</v>
      </c>
      <c r="L369" t="s">
        <v>39</v>
      </c>
      <c r="M369" t="b">
        <v>0</v>
      </c>
      <c r="N369" t="s">
        <v>33</v>
      </c>
    </row>
    <row r="370" spans="1:14" x14ac:dyDescent="0.35">
      <c r="A370" t="s">
        <v>588</v>
      </c>
      <c r="B370" t="s">
        <v>237</v>
      </c>
      <c r="C370" t="s">
        <v>65</v>
      </c>
      <c r="D370" t="s">
        <v>27</v>
      </c>
      <c r="E370" t="s">
        <v>80</v>
      </c>
      <c r="F370" t="s">
        <v>81</v>
      </c>
      <c r="G370" t="s">
        <v>30</v>
      </c>
      <c r="H370">
        <v>1</v>
      </c>
      <c r="I370">
        <v>12400</v>
      </c>
      <c r="J370">
        <v>12400</v>
      </c>
      <c r="K370" t="s">
        <v>54</v>
      </c>
      <c r="L370" t="s">
        <v>39</v>
      </c>
      <c r="M370" t="b">
        <v>0</v>
      </c>
      <c r="N370" t="s">
        <v>23</v>
      </c>
    </row>
    <row r="371" spans="1:14" x14ac:dyDescent="0.35">
      <c r="A371" t="s">
        <v>589</v>
      </c>
      <c r="B371" t="s">
        <v>199</v>
      </c>
      <c r="C371" t="s">
        <v>73</v>
      </c>
      <c r="D371" t="s">
        <v>43</v>
      </c>
      <c r="E371" t="s">
        <v>97</v>
      </c>
      <c r="F371" t="s">
        <v>29</v>
      </c>
      <c r="G371" t="s">
        <v>30</v>
      </c>
      <c r="H371">
        <v>1</v>
      </c>
      <c r="I371">
        <v>32700</v>
      </c>
      <c r="J371">
        <v>32700</v>
      </c>
      <c r="K371" t="s">
        <v>54</v>
      </c>
      <c r="L371" t="s">
        <v>47</v>
      </c>
      <c r="M371" t="b">
        <v>0</v>
      </c>
      <c r="N371" t="s">
        <v>33</v>
      </c>
    </row>
    <row r="372" spans="1:14" x14ac:dyDescent="0.35">
      <c r="A372" t="s">
        <v>590</v>
      </c>
      <c r="B372" t="s">
        <v>379</v>
      </c>
      <c r="C372" t="s">
        <v>50</v>
      </c>
      <c r="D372" t="s">
        <v>51</v>
      </c>
      <c r="E372" t="s">
        <v>74</v>
      </c>
      <c r="F372" t="s">
        <v>75</v>
      </c>
      <c r="G372" t="s">
        <v>20</v>
      </c>
      <c r="H372">
        <v>3</v>
      </c>
      <c r="I372">
        <v>4400</v>
      </c>
      <c r="J372">
        <v>13200</v>
      </c>
      <c r="K372" t="s">
        <v>38</v>
      </c>
      <c r="L372" t="s">
        <v>55</v>
      </c>
      <c r="M372" t="b">
        <v>0</v>
      </c>
      <c r="N372" t="s">
        <v>23</v>
      </c>
    </row>
    <row r="373" spans="1:14" x14ac:dyDescent="0.35">
      <c r="A373" t="s">
        <v>591</v>
      </c>
      <c r="B373" t="s">
        <v>96</v>
      </c>
      <c r="C373" t="s">
        <v>42</v>
      </c>
      <c r="D373" t="s">
        <v>43</v>
      </c>
      <c r="E373" t="s">
        <v>44</v>
      </c>
      <c r="F373" t="s">
        <v>45</v>
      </c>
      <c r="G373" t="s">
        <v>30</v>
      </c>
      <c r="H373">
        <v>3</v>
      </c>
      <c r="I373">
        <v>25300</v>
      </c>
      <c r="J373">
        <v>75900</v>
      </c>
      <c r="K373" t="s">
        <v>38</v>
      </c>
      <c r="L373" t="s">
        <v>88</v>
      </c>
      <c r="M373" t="b">
        <v>0</v>
      </c>
      <c r="N373" t="s">
        <v>23</v>
      </c>
    </row>
    <row r="374" spans="1:14" x14ac:dyDescent="0.35">
      <c r="A374" t="s">
        <v>592</v>
      </c>
      <c r="B374" t="s">
        <v>15</v>
      </c>
      <c r="C374" t="s">
        <v>50</v>
      </c>
      <c r="D374" t="s">
        <v>51</v>
      </c>
      <c r="E374" t="s">
        <v>60</v>
      </c>
      <c r="F374" t="s">
        <v>53</v>
      </c>
      <c r="G374" t="s">
        <v>30</v>
      </c>
      <c r="H374">
        <v>1</v>
      </c>
      <c r="I374">
        <v>6900</v>
      </c>
      <c r="J374">
        <v>6900</v>
      </c>
      <c r="K374" t="s">
        <v>21</v>
      </c>
      <c r="L374" t="s">
        <v>22</v>
      </c>
      <c r="M374" t="b">
        <v>0</v>
      </c>
      <c r="N374" t="s">
        <v>23</v>
      </c>
    </row>
    <row r="375" spans="1:14" x14ac:dyDescent="0.35">
      <c r="A375" t="s">
        <v>593</v>
      </c>
      <c r="B375" t="s">
        <v>214</v>
      </c>
      <c r="C375" t="s">
        <v>73</v>
      </c>
      <c r="D375" t="s">
        <v>43</v>
      </c>
      <c r="E375" t="s">
        <v>80</v>
      </c>
      <c r="F375" t="s">
        <v>81</v>
      </c>
      <c r="G375" t="s">
        <v>30</v>
      </c>
      <c r="H375">
        <v>1</v>
      </c>
      <c r="I375">
        <v>12300</v>
      </c>
      <c r="J375">
        <v>12300</v>
      </c>
      <c r="K375" t="s">
        <v>31</v>
      </c>
      <c r="L375" t="s">
        <v>47</v>
      </c>
      <c r="M375" t="b">
        <v>0</v>
      </c>
      <c r="N375" t="s">
        <v>23</v>
      </c>
    </row>
    <row r="376" spans="1:14" x14ac:dyDescent="0.35">
      <c r="A376" t="s">
        <v>594</v>
      </c>
      <c r="B376" t="s">
        <v>404</v>
      </c>
      <c r="C376" t="s">
        <v>65</v>
      </c>
      <c r="D376" t="s">
        <v>27</v>
      </c>
      <c r="E376" t="s">
        <v>80</v>
      </c>
      <c r="F376" t="s">
        <v>81</v>
      </c>
      <c r="G376" t="s">
        <v>30</v>
      </c>
      <c r="H376">
        <v>1</v>
      </c>
      <c r="I376">
        <v>11800</v>
      </c>
      <c r="J376">
        <v>11800</v>
      </c>
      <c r="K376" t="s">
        <v>70</v>
      </c>
      <c r="L376" t="s">
        <v>32</v>
      </c>
      <c r="M376" t="b">
        <v>1</v>
      </c>
      <c r="N376" t="s">
        <v>23</v>
      </c>
    </row>
    <row r="377" spans="1:14" x14ac:dyDescent="0.35">
      <c r="A377" t="s">
        <v>595</v>
      </c>
      <c r="B377" t="s">
        <v>138</v>
      </c>
      <c r="C377" t="s">
        <v>42</v>
      </c>
      <c r="D377" t="s">
        <v>43</v>
      </c>
      <c r="E377" t="s">
        <v>36</v>
      </c>
      <c r="F377" t="s">
        <v>37</v>
      </c>
      <c r="G377" t="s">
        <v>20</v>
      </c>
      <c r="H377">
        <v>5</v>
      </c>
      <c r="I377">
        <v>41900</v>
      </c>
      <c r="J377">
        <v>209500</v>
      </c>
      <c r="K377" t="s">
        <v>21</v>
      </c>
      <c r="L377" t="s">
        <v>109</v>
      </c>
      <c r="M377" t="b">
        <v>1</v>
      </c>
      <c r="N377" t="s">
        <v>33</v>
      </c>
    </row>
    <row r="378" spans="1:14" x14ac:dyDescent="0.35">
      <c r="A378" t="s">
        <v>596</v>
      </c>
      <c r="B378" t="s">
        <v>531</v>
      </c>
      <c r="C378" t="s">
        <v>65</v>
      </c>
      <c r="D378" t="s">
        <v>27</v>
      </c>
      <c r="E378" t="s">
        <v>28</v>
      </c>
      <c r="F378" t="s">
        <v>29</v>
      </c>
      <c r="G378" t="s">
        <v>30</v>
      </c>
      <c r="H378">
        <v>2</v>
      </c>
      <c r="I378">
        <v>115000</v>
      </c>
      <c r="J378">
        <v>230000</v>
      </c>
      <c r="K378" t="s">
        <v>38</v>
      </c>
      <c r="L378" t="s">
        <v>22</v>
      </c>
      <c r="M378" t="b">
        <v>0</v>
      </c>
      <c r="N378" t="s">
        <v>33</v>
      </c>
    </row>
    <row r="379" spans="1:14" x14ac:dyDescent="0.35">
      <c r="A379" t="s">
        <v>597</v>
      </c>
      <c r="B379" t="s">
        <v>257</v>
      </c>
      <c r="C379" t="s">
        <v>58</v>
      </c>
      <c r="D379" t="s">
        <v>59</v>
      </c>
      <c r="E379" t="s">
        <v>44</v>
      </c>
      <c r="F379" t="s">
        <v>45</v>
      </c>
      <c r="G379" t="s">
        <v>30</v>
      </c>
      <c r="H379">
        <v>1</v>
      </c>
      <c r="I379">
        <v>28400</v>
      </c>
      <c r="J379">
        <v>28400</v>
      </c>
      <c r="K379" t="s">
        <v>54</v>
      </c>
      <c r="L379" t="s">
        <v>88</v>
      </c>
      <c r="M379" t="b">
        <v>0</v>
      </c>
      <c r="N379" t="s">
        <v>33</v>
      </c>
    </row>
    <row r="380" spans="1:14" x14ac:dyDescent="0.35">
      <c r="A380" t="s">
        <v>598</v>
      </c>
      <c r="B380" t="s">
        <v>345</v>
      </c>
      <c r="C380" t="s">
        <v>42</v>
      </c>
      <c r="D380" t="s">
        <v>43</v>
      </c>
      <c r="E380" t="s">
        <v>52</v>
      </c>
      <c r="F380" t="s">
        <v>53</v>
      </c>
      <c r="G380" t="s">
        <v>30</v>
      </c>
      <c r="H380">
        <v>1</v>
      </c>
      <c r="I380">
        <v>7900</v>
      </c>
      <c r="J380">
        <v>7900</v>
      </c>
      <c r="K380" t="s">
        <v>21</v>
      </c>
      <c r="L380" t="s">
        <v>32</v>
      </c>
      <c r="M380" t="b">
        <v>1</v>
      </c>
      <c r="N380" t="s">
        <v>23</v>
      </c>
    </row>
    <row r="381" spans="1:14" x14ac:dyDescent="0.35">
      <c r="A381" t="s">
        <v>599</v>
      </c>
      <c r="B381" t="s">
        <v>473</v>
      </c>
      <c r="C381" t="s">
        <v>50</v>
      </c>
      <c r="D381" t="s">
        <v>51</v>
      </c>
      <c r="E381" t="s">
        <v>97</v>
      </c>
      <c r="F381" t="s">
        <v>29</v>
      </c>
      <c r="G381" t="s">
        <v>30</v>
      </c>
      <c r="H381">
        <v>1</v>
      </c>
      <c r="I381">
        <v>34300</v>
      </c>
      <c r="J381">
        <v>34300</v>
      </c>
      <c r="K381" t="s">
        <v>31</v>
      </c>
      <c r="L381" t="s">
        <v>22</v>
      </c>
      <c r="M381" t="b">
        <v>0</v>
      </c>
      <c r="N381" t="s">
        <v>33</v>
      </c>
    </row>
    <row r="382" spans="1:14" x14ac:dyDescent="0.35">
      <c r="A382" t="s">
        <v>600</v>
      </c>
      <c r="B382" t="s">
        <v>150</v>
      </c>
      <c r="C382" t="s">
        <v>65</v>
      </c>
      <c r="D382" t="s">
        <v>27</v>
      </c>
      <c r="E382" t="s">
        <v>120</v>
      </c>
      <c r="F382" t="s">
        <v>45</v>
      </c>
      <c r="G382" t="s">
        <v>20</v>
      </c>
      <c r="H382">
        <v>3</v>
      </c>
      <c r="I382">
        <v>56500</v>
      </c>
      <c r="J382">
        <v>169500</v>
      </c>
      <c r="K382" t="s">
        <v>70</v>
      </c>
      <c r="L382" t="s">
        <v>88</v>
      </c>
      <c r="M382" t="b">
        <v>0</v>
      </c>
      <c r="N382" t="s">
        <v>33</v>
      </c>
    </row>
    <row r="383" spans="1:14" x14ac:dyDescent="0.35">
      <c r="A383" t="s">
        <v>601</v>
      </c>
      <c r="B383" t="s">
        <v>176</v>
      </c>
      <c r="C383" t="s">
        <v>67</v>
      </c>
      <c r="D383" t="s">
        <v>59</v>
      </c>
      <c r="E383" t="s">
        <v>94</v>
      </c>
      <c r="F383" t="s">
        <v>37</v>
      </c>
      <c r="G383" t="s">
        <v>30</v>
      </c>
      <c r="H383">
        <v>1</v>
      </c>
      <c r="I383">
        <v>19900</v>
      </c>
      <c r="J383">
        <v>19900</v>
      </c>
      <c r="K383" t="s">
        <v>70</v>
      </c>
      <c r="L383" t="s">
        <v>55</v>
      </c>
      <c r="M383" t="b">
        <v>0</v>
      </c>
      <c r="N383" t="s">
        <v>23</v>
      </c>
    </row>
    <row r="384" spans="1:14" x14ac:dyDescent="0.35">
      <c r="A384" t="s">
        <v>602</v>
      </c>
      <c r="B384" t="s">
        <v>603</v>
      </c>
      <c r="C384" t="s">
        <v>65</v>
      </c>
      <c r="D384" t="s">
        <v>27</v>
      </c>
      <c r="E384" t="s">
        <v>102</v>
      </c>
      <c r="F384" t="s">
        <v>29</v>
      </c>
      <c r="G384" t="s">
        <v>30</v>
      </c>
      <c r="H384">
        <v>1</v>
      </c>
      <c r="I384">
        <v>27200</v>
      </c>
      <c r="J384">
        <v>27200</v>
      </c>
      <c r="K384" t="s">
        <v>21</v>
      </c>
      <c r="L384" t="s">
        <v>55</v>
      </c>
      <c r="M384" t="b">
        <v>0</v>
      </c>
      <c r="N384" t="s">
        <v>23</v>
      </c>
    </row>
    <row r="385" spans="1:14" x14ac:dyDescent="0.35">
      <c r="A385" t="s">
        <v>604</v>
      </c>
      <c r="B385" t="s">
        <v>315</v>
      </c>
      <c r="C385" t="s">
        <v>50</v>
      </c>
      <c r="D385" t="s">
        <v>51</v>
      </c>
      <c r="E385" t="s">
        <v>120</v>
      </c>
      <c r="F385" t="s">
        <v>45</v>
      </c>
      <c r="G385" t="s">
        <v>30</v>
      </c>
      <c r="H385">
        <v>2</v>
      </c>
      <c r="I385">
        <v>55000</v>
      </c>
      <c r="J385">
        <v>110000</v>
      </c>
      <c r="K385" t="s">
        <v>54</v>
      </c>
      <c r="L385" t="s">
        <v>22</v>
      </c>
      <c r="M385" t="b">
        <v>0</v>
      </c>
      <c r="N385" t="s">
        <v>33</v>
      </c>
    </row>
    <row r="386" spans="1:14" x14ac:dyDescent="0.35">
      <c r="A386" t="s">
        <v>605</v>
      </c>
      <c r="B386" t="s">
        <v>101</v>
      </c>
      <c r="C386" t="s">
        <v>73</v>
      </c>
      <c r="D386" t="s">
        <v>43</v>
      </c>
      <c r="E386" t="s">
        <v>36</v>
      </c>
      <c r="F386" t="s">
        <v>37</v>
      </c>
      <c r="G386" t="s">
        <v>20</v>
      </c>
      <c r="H386">
        <v>1</v>
      </c>
      <c r="I386">
        <v>45100</v>
      </c>
      <c r="J386">
        <v>45100</v>
      </c>
      <c r="K386" t="s">
        <v>21</v>
      </c>
      <c r="L386" t="s">
        <v>88</v>
      </c>
      <c r="M386" t="b">
        <v>0</v>
      </c>
      <c r="N386" t="s">
        <v>33</v>
      </c>
    </row>
    <row r="387" spans="1:14" x14ac:dyDescent="0.35">
      <c r="A387" t="s">
        <v>606</v>
      </c>
      <c r="B387" t="s">
        <v>379</v>
      </c>
      <c r="C387" t="s">
        <v>50</v>
      </c>
      <c r="D387" t="s">
        <v>51</v>
      </c>
      <c r="E387" t="s">
        <v>60</v>
      </c>
      <c r="F387" t="s">
        <v>53</v>
      </c>
      <c r="G387" t="s">
        <v>30</v>
      </c>
      <c r="H387">
        <v>1</v>
      </c>
      <c r="I387">
        <v>6600</v>
      </c>
      <c r="J387">
        <v>6600</v>
      </c>
      <c r="K387" t="s">
        <v>38</v>
      </c>
      <c r="L387" t="s">
        <v>55</v>
      </c>
      <c r="M387" t="b">
        <v>0</v>
      </c>
      <c r="N387" t="s">
        <v>23</v>
      </c>
    </row>
    <row r="388" spans="1:14" x14ac:dyDescent="0.35">
      <c r="A388" t="s">
        <v>607</v>
      </c>
      <c r="B388" t="s">
        <v>172</v>
      </c>
      <c r="C388" t="s">
        <v>50</v>
      </c>
      <c r="D388" t="s">
        <v>51</v>
      </c>
      <c r="E388" t="s">
        <v>80</v>
      </c>
      <c r="F388" t="s">
        <v>81</v>
      </c>
      <c r="G388" t="s">
        <v>20</v>
      </c>
      <c r="H388">
        <v>2</v>
      </c>
      <c r="I388">
        <v>11100</v>
      </c>
      <c r="J388">
        <v>22200</v>
      </c>
      <c r="K388" t="s">
        <v>54</v>
      </c>
      <c r="L388" t="s">
        <v>88</v>
      </c>
      <c r="M388" t="b">
        <v>0</v>
      </c>
      <c r="N388" t="s">
        <v>23</v>
      </c>
    </row>
    <row r="389" spans="1:14" x14ac:dyDescent="0.35">
      <c r="A389" t="s">
        <v>608</v>
      </c>
      <c r="B389" t="s">
        <v>91</v>
      </c>
      <c r="C389" t="s">
        <v>50</v>
      </c>
      <c r="D389" t="s">
        <v>51</v>
      </c>
      <c r="E389" t="s">
        <v>120</v>
      </c>
      <c r="F389" t="s">
        <v>45</v>
      </c>
      <c r="G389" t="s">
        <v>20</v>
      </c>
      <c r="H389">
        <v>2</v>
      </c>
      <c r="I389">
        <v>58200</v>
      </c>
      <c r="J389">
        <v>116400</v>
      </c>
      <c r="K389" t="s">
        <v>21</v>
      </c>
      <c r="L389" t="s">
        <v>55</v>
      </c>
      <c r="M389" t="b">
        <v>0</v>
      </c>
      <c r="N389" t="s">
        <v>33</v>
      </c>
    </row>
    <row r="390" spans="1:14" x14ac:dyDescent="0.35">
      <c r="A390" t="s">
        <v>609</v>
      </c>
      <c r="B390" t="s">
        <v>77</v>
      </c>
      <c r="C390" t="s">
        <v>58</v>
      </c>
      <c r="D390" t="s">
        <v>59</v>
      </c>
      <c r="E390" t="s">
        <v>120</v>
      </c>
      <c r="F390" t="s">
        <v>45</v>
      </c>
      <c r="G390" t="s">
        <v>30</v>
      </c>
      <c r="H390">
        <v>2</v>
      </c>
      <c r="I390">
        <v>56200</v>
      </c>
      <c r="J390">
        <v>112400</v>
      </c>
      <c r="K390" t="s">
        <v>46</v>
      </c>
      <c r="L390" t="s">
        <v>32</v>
      </c>
      <c r="M390" t="b">
        <v>1</v>
      </c>
      <c r="N390" t="s">
        <v>33</v>
      </c>
    </row>
    <row r="391" spans="1:14" x14ac:dyDescent="0.35">
      <c r="A391" t="s">
        <v>610</v>
      </c>
      <c r="B391" t="s">
        <v>285</v>
      </c>
      <c r="C391" t="s">
        <v>58</v>
      </c>
      <c r="D391" t="s">
        <v>59</v>
      </c>
      <c r="E391" t="s">
        <v>44</v>
      </c>
      <c r="F391" t="s">
        <v>45</v>
      </c>
      <c r="G391" t="s">
        <v>20</v>
      </c>
      <c r="H391">
        <v>1</v>
      </c>
      <c r="I391">
        <v>28000</v>
      </c>
      <c r="J391">
        <v>28000</v>
      </c>
      <c r="K391" t="s">
        <v>38</v>
      </c>
      <c r="L391" t="s">
        <v>109</v>
      </c>
      <c r="M391" t="b">
        <v>1</v>
      </c>
      <c r="N391" t="s">
        <v>33</v>
      </c>
    </row>
    <row r="392" spans="1:14" x14ac:dyDescent="0.35">
      <c r="A392" t="s">
        <v>611</v>
      </c>
      <c r="B392" t="s">
        <v>283</v>
      </c>
      <c r="C392" t="s">
        <v>65</v>
      </c>
      <c r="D392" t="s">
        <v>27</v>
      </c>
      <c r="E392" t="s">
        <v>36</v>
      </c>
      <c r="F392" t="s">
        <v>37</v>
      </c>
      <c r="G392" t="s">
        <v>30</v>
      </c>
      <c r="H392">
        <v>2</v>
      </c>
      <c r="I392">
        <v>44900</v>
      </c>
      <c r="J392">
        <v>89800</v>
      </c>
      <c r="K392" t="s">
        <v>21</v>
      </c>
      <c r="L392" t="s">
        <v>88</v>
      </c>
      <c r="M392" t="b">
        <v>0</v>
      </c>
      <c r="N392" t="s">
        <v>33</v>
      </c>
    </row>
    <row r="393" spans="1:14" x14ac:dyDescent="0.35">
      <c r="A393" t="s">
        <v>612</v>
      </c>
      <c r="B393" t="s">
        <v>253</v>
      </c>
      <c r="C393" t="s">
        <v>65</v>
      </c>
      <c r="D393" t="s">
        <v>27</v>
      </c>
      <c r="E393" t="s">
        <v>60</v>
      </c>
      <c r="F393" t="s">
        <v>53</v>
      </c>
      <c r="G393" t="s">
        <v>30</v>
      </c>
      <c r="H393">
        <v>1</v>
      </c>
      <c r="I393">
        <v>6600</v>
      </c>
      <c r="J393">
        <v>6600</v>
      </c>
      <c r="K393" t="s">
        <v>31</v>
      </c>
      <c r="L393" t="s">
        <v>22</v>
      </c>
      <c r="M393" t="b">
        <v>0</v>
      </c>
      <c r="N393" t="s">
        <v>23</v>
      </c>
    </row>
    <row r="394" spans="1:14" x14ac:dyDescent="0.35">
      <c r="A394" t="s">
        <v>613</v>
      </c>
      <c r="B394" t="s">
        <v>371</v>
      </c>
      <c r="C394" t="s">
        <v>65</v>
      </c>
      <c r="D394" t="s">
        <v>27</v>
      </c>
      <c r="E394" t="s">
        <v>52</v>
      </c>
      <c r="F394" t="s">
        <v>53</v>
      </c>
      <c r="G394" t="s">
        <v>20</v>
      </c>
      <c r="H394">
        <v>1</v>
      </c>
      <c r="I394">
        <v>8100</v>
      </c>
      <c r="J394">
        <v>8100</v>
      </c>
      <c r="K394" t="s">
        <v>46</v>
      </c>
      <c r="L394" t="s">
        <v>109</v>
      </c>
      <c r="M394" t="b">
        <v>1</v>
      </c>
      <c r="N394" t="s">
        <v>23</v>
      </c>
    </row>
    <row r="395" spans="1:14" x14ac:dyDescent="0.35">
      <c r="A395" t="s">
        <v>614</v>
      </c>
      <c r="B395" t="s">
        <v>72</v>
      </c>
      <c r="C395" t="s">
        <v>42</v>
      </c>
      <c r="D395" t="s">
        <v>43</v>
      </c>
      <c r="E395" t="s">
        <v>18</v>
      </c>
      <c r="F395" t="s">
        <v>19</v>
      </c>
      <c r="G395" t="s">
        <v>20</v>
      </c>
      <c r="H395">
        <v>1</v>
      </c>
      <c r="I395">
        <v>21400</v>
      </c>
      <c r="J395">
        <v>21400</v>
      </c>
      <c r="K395" t="s">
        <v>38</v>
      </c>
      <c r="L395" t="s">
        <v>22</v>
      </c>
      <c r="M395" t="b">
        <v>0</v>
      </c>
      <c r="N395" t="s">
        <v>23</v>
      </c>
    </row>
    <row r="396" spans="1:14" x14ac:dyDescent="0.35">
      <c r="A396" t="s">
        <v>615</v>
      </c>
      <c r="B396" t="s">
        <v>479</v>
      </c>
      <c r="C396" t="s">
        <v>67</v>
      </c>
      <c r="D396" t="s">
        <v>59</v>
      </c>
      <c r="E396" t="s">
        <v>44</v>
      </c>
      <c r="F396" t="s">
        <v>45</v>
      </c>
      <c r="G396" t="s">
        <v>20</v>
      </c>
      <c r="H396">
        <v>2</v>
      </c>
      <c r="I396">
        <v>28400</v>
      </c>
      <c r="J396">
        <v>56800</v>
      </c>
      <c r="K396" t="s">
        <v>38</v>
      </c>
      <c r="L396" t="s">
        <v>39</v>
      </c>
      <c r="M396" t="b">
        <v>0</v>
      </c>
      <c r="N396" t="s">
        <v>33</v>
      </c>
    </row>
    <row r="397" spans="1:14" x14ac:dyDescent="0.35">
      <c r="A397" t="s">
        <v>616</v>
      </c>
      <c r="B397" t="s">
        <v>199</v>
      </c>
      <c r="C397" t="s">
        <v>73</v>
      </c>
      <c r="D397" t="s">
        <v>43</v>
      </c>
      <c r="E397" t="s">
        <v>28</v>
      </c>
      <c r="F397" t="s">
        <v>29</v>
      </c>
      <c r="G397" t="s">
        <v>30</v>
      </c>
      <c r="H397">
        <v>3</v>
      </c>
      <c r="I397">
        <v>120300</v>
      </c>
      <c r="J397">
        <v>360900</v>
      </c>
      <c r="K397" t="s">
        <v>54</v>
      </c>
      <c r="L397" t="s">
        <v>47</v>
      </c>
      <c r="M397" t="b">
        <v>0</v>
      </c>
      <c r="N397" t="s">
        <v>33</v>
      </c>
    </row>
    <row r="398" spans="1:14" x14ac:dyDescent="0.35">
      <c r="A398" t="s">
        <v>617</v>
      </c>
      <c r="B398" t="s">
        <v>307</v>
      </c>
      <c r="C398" t="s">
        <v>42</v>
      </c>
      <c r="D398" t="s">
        <v>43</v>
      </c>
      <c r="E398" t="s">
        <v>18</v>
      </c>
      <c r="F398" t="s">
        <v>19</v>
      </c>
      <c r="G398" t="s">
        <v>30</v>
      </c>
      <c r="H398">
        <v>1</v>
      </c>
      <c r="I398">
        <v>21100</v>
      </c>
      <c r="J398">
        <v>21100</v>
      </c>
      <c r="K398" t="s">
        <v>31</v>
      </c>
      <c r="L398" t="s">
        <v>88</v>
      </c>
      <c r="M398" t="b">
        <v>0</v>
      </c>
      <c r="N398" t="s">
        <v>23</v>
      </c>
    </row>
    <row r="399" spans="1:14" x14ac:dyDescent="0.35">
      <c r="A399" t="s">
        <v>618</v>
      </c>
      <c r="B399" t="s">
        <v>205</v>
      </c>
      <c r="C399" t="s">
        <v>50</v>
      </c>
      <c r="D399" t="s">
        <v>51</v>
      </c>
      <c r="E399" t="s">
        <v>97</v>
      </c>
      <c r="F399" t="s">
        <v>29</v>
      </c>
      <c r="G399" t="s">
        <v>30</v>
      </c>
      <c r="H399">
        <v>4</v>
      </c>
      <c r="I399">
        <v>33700</v>
      </c>
      <c r="J399">
        <v>134800</v>
      </c>
      <c r="K399" t="s">
        <v>38</v>
      </c>
      <c r="L399" t="s">
        <v>22</v>
      </c>
      <c r="M399" t="b">
        <v>0</v>
      </c>
      <c r="N399" t="s">
        <v>33</v>
      </c>
    </row>
    <row r="400" spans="1:14" x14ac:dyDescent="0.35">
      <c r="A400" t="s">
        <v>619</v>
      </c>
      <c r="B400" t="s">
        <v>148</v>
      </c>
      <c r="C400" t="s">
        <v>42</v>
      </c>
      <c r="D400" t="s">
        <v>43</v>
      </c>
      <c r="E400" t="s">
        <v>102</v>
      </c>
      <c r="F400" t="s">
        <v>29</v>
      </c>
      <c r="G400" t="s">
        <v>30</v>
      </c>
      <c r="H400">
        <v>1</v>
      </c>
      <c r="I400">
        <v>28500</v>
      </c>
      <c r="J400">
        <v>28500</v>
      </c>
      <c r="K400" t="s">
        <v>31</v>
      </c>
      <c r="L400" t="s">
        <v>47</v>
      </c>
      <c r="M400" t="b">
        <v>0</v>
      </c>
      <c r="N400" t="s">
        <v>33</v>
      </c>
    </row>
    <row r="401" spans="1:14" x14ac:dyDescent="0.35">
      <c r="A401" t="s">
        <v>620</v>
      </c>
      <c r="B401" t="s">
        <v>331</v>
      </c>
      <c r="C401" t="s">
        <v>67</v>
      </c>
      <c r="D401" t="s">
        <v>59</v>
      </c>
      <c r="E401" t="s">
        <v>52</v>
      </c>
      <c r="F401" t="s">
        <v>53</v>
      </c>
      <c r="G401" t="s">
        <v>20</v>
      </c>
      <c r="H401">
        <v>1</v>
      </c>
      <c r="I401">
        <v>8500</v>
      </c>
      <c r="J401">
        <v>8500</v>
      </c>
      <c r="K401" t="s">
        <v>38</v>
      </c>
      <c r="L401" t="s">
        <v>109</v>
      </c>
      <c r="M401" t="b">
        <v>1</v>
      </c>
      <c r="N401" t="s">
        <v>23</v>
      </c>
    </row>
    <row r="402" spans="1:14" x14ac:dyDescent="0.35">
      <c r="A402" t="s">
        <v>621</v>
      </c>
      <c r="B402" t="s">
        <v>77</v>
      </c>
      <c r="C402" t="s">
        <v>16</v>
      </c>
      <c r="D402" t="s">
        <v>17</v>
      </c>
      <c r="E402" t="s">
        <v>18</v>
      </c>
      <c r="F402" t="s">
        <v>19</v>
      </c>
      <c r="G402" t="s">
        <v>30</v>
      </c>
      <c r="H402">
        <v>3</v>
      </c>
      <c r="I402">
        <v>22200</v>
      </c>
      <c r="J402">
        <v>66600</v>
      </c>
      <c r="K402" t="s">
        <v>46</v>
      </c>
      <c r="L402" t="s">
        <v>32</v>
      </c>
      <c r="M402" t="b">
        <v>1</v>
      </c>
      <c r="N402" t="s">
        <v>23</v>
      </c>
    </row>
    <row r="403" spans="1:14" x14ac:dyDescent="0.35">
      <c r="A403" t="s">
        <v>622</v>
      </c>
      <c r="B403" t="s">
        <v>83</v>
      </c>
      <c r="C403" t="s">
        <v>73</v>
      </c>
      <c r="D403" t="s">
        <v>43</v>
      </c>
      <c r="E403" t="s">
        <v>74</v>
      </c>
      <c r="F403" t="s">
        <v>75</v>
      </c>
      <c r="G403" t="s">
        <v>20</v>
      </c>
      <c r="H403">
        <v>1</v>
      </c>
      <c r="I403">
        <v>4700</v>
      </c>
      <c r="J403">
        <v>4700</v>
      </c>
      <c r="K403" t="s">
        <v>21</v>
      </c>
      <c r="L403" t="s">
        <v>47</v>
      </c>
      <c r="M403" t="b">
        <v>0</v>
      </c>
      <c r="N403" t="s">
        <v>23</v>
      </c>
    </row>
    <row r="404" spans="1:14" x14ac:dyDescent="0.35">
      <c r="A404" t="s">
        <v>623</v>
      </c>
      <c r="B404" t="s">
        <v>624</v>
      </c>
      <c r="C404" t="s">
        <v>50</v>
      </c>
      <c r="D404" t="s">
        <v>51</v>
      </c>
      <c r="E404" t="s">
        <v>80</v>
      </c>
      <c r="F404" t="s">
        <v>81</v>
      </c>
      <c r="G404" t="s">
        <v>30</v>
      </c>
      <c r="H404">
        <v>1</v>
      </c>
      <c r="I404">
        <v>12700</v>
      </c>
      <c r="J404">
        <v>12700</v>
      </c>
      <c r="K404" t="s">
        <v>31</v>
      </c>
      <c r="L404" t="s">
        <v>47</v>
      </c>
      <c r="M404" t="b">
        <v>0</v>
      </c>
      <c r="N404" t="s">
        <v>23</v>
      </c>
    </row>
    <row r="405" spans="1:14" x14ac:dyDescent="0.35">
      <c r="A405" t="s">
        <v>625</v>
      </c>
      <c r="B405" t="s">
        <v>404</v>
      </c>
      <c r="C405" t="s">
        <v>73</v>
      </c>
      <c r="D405" t="s">
        <v>43</v>
      </c>
      <c r="E405" t="s">
        <v>44</v>
      </c>
      <c r="F405" t="s">
        <v>45</v>
      </c>
      <c r="G405" t="s">
        <v>30</v>
      </c>
      <c r="H405">
        <v>1</v>
      </c>
      <c r="I405">
        <v>28500</v>
      </c>
      <c r="J405">
        <v>28500</v>
      </c>
      <c r="K405" t="s">
        <v>70</v>
      </c>
      <c r="L405" t="s">
        <v>32</v>
      </c>
      <c r="M405" t="b">
        <v>1</v>
      </c>
      <c r="N405" t="s">
        <v>33</v>
      </c>
    </row>
    <row r="406" spans="1:14" x14ac:dyDescent="0.35">
      <c r="A406" t="s">
        <v>626</v>
      </c>
      <c r="B406" t="s">
        <v>144</v>
      </c>
      <c r="C406" t="s">
        <v>73</v>
      </c>
      <c r="D406" t="s">
        <v>43</v>
      </c>
      <c r="E406" t="s">
        <v>36</v>
      </c>
      <c r="F406" t="s">
        <v>37</v>
      </c>
      <c r="G406" t="s">
        <v>30</v>
      </c>
      <c r="H406">
        <v>1</v>
      </c>
      <c r="I406">
        <v>44600</v>
      </c>
      <c r="J406">
        <v>44600</v>
      </c>
      <c r="K406" t="s">
        <v>31</v>
      </c>
      <c r="L406" t="s">
        <v>88</v>
      </c>
      <c r="M406" t="b">
        <v>0</v>
      </c>
      <c r="N406" t="s">
        <v>33</v>
      </c>
    </row>
    <row r="407" spans="1:14" x14ac:dyDescent="0.35">
      <c r="A407" t="s">
        <v>627</v>
      </c>
      <c r="B407" t="s">
        <v>62</v>
      </c>
      <c r="C407" t="s">
        <v>67</v>
      </c>
      <c r="D407" t="s">
        <v>59</v>
      </c>
      <c r="E407" t="s">
        <v>28</v>
      </c>
      <c r="F407" t="s">
        <v>29</v>
      </c>
      <c r="G407" t="s">
        <v>30</v>
      </c>
      <c r="H407">
        <v>2</v>
      </c>
      <c r="I407">
        <v>117400</v>
      </c>
      <c r="J407">
        <v>234800</v>
      </c>
      <c r="K407" t="s">
        <v>31</v>
      </c>
      <c r="L407" t="s">
        <v>32</v>
      </c>
      <c r="M407" t="b">
        <v>1</v>
      </c>
      <c r="N407" t="s">
        <v>33</v>
      </c>
    </row>
    <row r="408" spans="1:14" x14ac:dyDescent="0.35">
      <c r="A408" t="s">
        <v>628</v>
      </c>
      <c r="B408" t="s">
        <v>253</v>
      </c>
      <c r="C408" t="s">
        <v>58</v>
      </c>
      <c r="D408" t="s">
        <v>59</v>
      </c>
      <c r="E408" t="s">
        <v>18</v>
      </c>
      <c r="F408" t="s">
        <v>19</v>
      </c>
      <c r="G408" t="s">
        <v>20</v>
      </c>
      <c r="H408">
        <v>1</v>
      </c>
      <c r="I408">
        <v>20700</v>
      </c>
      <c r="J408">
        <v>20700</v>
      </c>
      <c r="K408" t="s">
        <v>31</v>
      </c>
      <c r="L408" t="s">
        <v>22</v>
      </c>
      <c r="M408" t="b">
        <v>0</v>
      </c>
      <c r="N408" t="s">
        <v>23</v>
      </c>
    </row>
    <row r="409" spans="1:14" x14ac:dyDescent="0.35">
      <c r="A409" t="s">
        <v>629</v>
      </c>
      <c r="B409" t="s">
        <v>603</v>
      </c>
      <c r="C409" t="s">
        <v>50</v>
      </c>
      <c r="D409" t="s">
        <v>51</v>
      </c>
      <c r="E409" t="s">
        <v>80</v>
      </c>
      <c r="F409" t="s">
        <v>81</v>
      </c>
      <c r="G409" t="s">
        <v>20</v>
      </c>
      <c r="H409">
        <v>2</v>
      </c>
      <c r="I409">
        <v>12400</v>
      </c>
      <c r="J409">
        <v>24800</v>
      </c>
      <c r="K409" t="s">
        <v>21</v>
      </c>
      <c r="L409" t="s">
        <v>55</v>
      </c>
      <c r="M409" t="b">
        <v>0</v>
      </c>
      <c r="N409" t="s">
        <v>23</v>
      </c>
    </row>
    <row r="410" spans="1:14" x14ac:dyDescent="0.35">
      <c r="A410" t="s">
        <v>630</v>
      </c>
      <c r="B410" t="s">
        <v>531</v>
      </c>
      <c r="C410" t="s">
        <v>16</v>
      </c>
      <c r="D410" t="s">
        <v>17</v>
      </c>
      <c r="E410" t="s">
        <v>60</v>
      </c>
      <c r="F410" t="s">
        <v>53</v>
      </c>
      <c r="G410" t="s">
        <v>30</v>
      </c>
      <c r="H410">
        <v>1</v>
      </c>
      <c r="I410">
        <v>6300</v>
      </c>
      <c r="J410">
        <v>6300</v>
      </c>
      <c r="K410" t="s">
        <v>38</v>
      </c>
      <c r="L410" t="s">
        <v>22</v>
      </c>
      <c r="M410" t="b">
        <v>0</v>
      </c>
      <c r="N410" t="s">
        <v>23</v>
      </c>
    </row>
    <row r="411" spans="1:14" x14ac:dyDescent="0.35">
      <c r="A411" t="s">
        <v>631</v>
      </c>
      <c r="B411" t="s">
        <v>540</v>
      </c>
      <c r="C411" t="s">
        <v>42</v>
      </c>
      <c r="D411" t="s">
        <v>43</v>
      </c>
      <c r="E411" t="s">
        <v>74</v>
      </c>
      <c r="F411" t="s">
        <v>75</v>
      </c>
      <c r="G411" t="s">
        <v>30</v>
      </c>
      <c r="H411">
        <v>2</v>
      </c>
      <c r="I411">
        <v>4200</v>
      </c>
      <c r="J411">
        <v>8400</v>
      </c>
      <c r="K411" t="s">
        <v>46</v>
      </c>
      <c r="L411" t="s">
        <v>22</v>
      </c>
      <c r="M411" t="b">
        <v>0</v>
      </c>
      <c r="N411" t="s">
        <v>23</v>
      </c>
    </row>
    <row r="412" spans="1:14" x14ac:dyDescent="0.35">
      <c r="A412" t="s">
        <v>632</v>
      </c>
      <c r="B412" t="s">
        <v>449</v>
      </c>
      <c r="C412" t="s">
        <v>50</v>
      </c>
      <c r="D412" t="s">
        <v>51</v>
      </c>
      <c r="E412" t="s">
        <v>44</v>
      </c>
      <c r="F412" t="s">
        <v>45</v>
      </c>
      <c r="G412" t="s">
        <v>30</v>
      </c>
      <c r="H412">
        <v>1</v>
      </c>
      <c r="I412">
        <v>28100</v>
      </c>
      <c r="J412">
        <v>28100</v>
      </c>
      <c r="K412" t="s">
        <v>46</v>
      </c>
      <c r="L412" t="s">
        <v>88</v>
      </c>
      <c r="M412" t="b">
        <v>0</v>
      </c>
      <c r="N412" t="s">
        <v>33</v>
      </c>
    </row>
    <row r="413" spans="1:14" x14ac:dyDescent="0.35">
      <c r="A413" t="s">
        <v>633</v>
      </c>
      <c r="B413" t="s">
        <v>550</v>
      </c>
      <c r="C413" t="s">
        <v>73</v>
      </c>
      <c r="D413" t="s">
        <v>43</v>
      </c>
      <c r="E413" t="s">
        <v>74</v>
      </c>
      <c r="F413" t="s">
        <v>75</v>
      </c>
      <c r="G413" t="s">
        <v>30</v>
      </c>
      <c r="H413">
        <v>2</v>
      </c>
      <c r="I413">
        <v>4400</v>
      </c>
      <c r="J413">
        <v>8800</v>
      </c>
      <c r="K413" t="s">
        <v>46</v>
      </c>
      <c r="L413" t="s">
        <v>32</v>
      </c>
      <c r="M413" t="b">
        <v>1</v>
      </c>
      <c r="N413" t="s">
        <v>23</v>
      </c>
    </row>
    <row r="414" spans="1:14" x14ac:dyDescent="0.35">
      <c r="A414" t="s">
        <v>634</v>
      </c>
      <c r="B414" t="s">
        <v>57</v>
      </c>
      <c r="C414" t="s">
        <v>58</v>
      </c>
      <c r="D414" t="s">
        <v>59</v>
      </c>
      <c r="E414" t="s">
        <v>120</v>
      </c>
      <c r="F414" t="s">
        <v>45</v>
      </c>
      <c r="G414" t="s">
        <v>30</v>
      </c>
      <c r="H414">
        <v>1</v>
      </c>
      <c r="I414">
        <v>56400</v>
      </c>
      <c r="J414">
        <v>56400</v>
      </c>
      <c r="K414" t="s">
        <v>31</v>
      </c>
      <c r="L414" t="s">
        <v>55</v>
      </c>
      <c r="M414" t="b">
        <v>0</v>
      </c>
      <c r="N414" t="s">
        <v>33</v>
      </c>
    </row>
    <row r="415" spans="1:14" x14ac:dyDescent="0.35">
      <c r="A415" t="s">
        <v>635</v>
      </c>
      <c r="B415" t="s">
        <v>489</v>
      </c>
      <c r="C415" t="s">
        <v>50</v>
      </c>
      <c r="D415" t="s">
        <v>51</v>
      </c>
      <c r="E415" t="s">
        <v>36</v>
      </c>
      <c r="F415" t="s">
        <v>37</v>
      </c>
      <c r="G415" t="s">
        <v>30</v>
      </c>
      <c r="H415">
        <v>1</v>
      </c>
      <c r="I415">
        <v>43100</v>
      </c>
      <c r="J415">
        <v>43100</v>
      </c>
      <c r="K415" t="s">
        <v>21</v>
      </c>
      <c r="L415" t="s">
        <v>109</v>
      </c>
      <c r="M415" t="b">
        <v>1</v>
      </c>
      <c r="N415" t="s">
        <v>33</v>
      </c>
    </row>
    <row r="416" spans="1:14" x14ac:dyDescent="0.35">
      <c r="A416" t="s">
        <v>636</v>
      </c>
      <c r="B416" t="s">
        <v>140</v>
      </c>
      <c r="C416" t="s">
        <v>58</v>
      </c>
      <c r="D416" t="s">
        <v>59</v>
      </c>
      <c r="E416" t="s">
        <v>52</v>
      </c>
      <c r="F416" t="s">
        <v>53</v>
      </c>
      <c r="G416" t="s">
        <v>30</v>
      </c>
      <c r="H416">
        <v>1</v>
      </c>
      <c r="I416">
        <v>8100</v>
      </c>
      <c r="J416">
        <v>8100</v>
      </c>
      <c r="K416" t="s">
        <v>38</v>
      </c>
      <c r="L416" t="s">
        <v>32</v>
      </c>
      <c r="M416" t="b">
        <v>1</v>
      </c>
      <c r="N416" t="s">
        <v>23</v>
      </c>
    </row>
    <row r="417" spans="1:14" x14ac:dyDescent="0.35">
      <c r="A417" t="s">
        <v>637</v>
      </c>
      <c r="B417" t="s">
        <v>211</v>
      </c>
      <c r="C417" t="s">
        <v>42</v>
      </c>
      <c r="D417" t="s">
        <v>43</v>
      </c>
      <c r="E417" t="s">
        <v>28</v>
      </c>
      <c r="F417" t="s">
        <v>29</v>
      </c>
      <c r="G417" t="s">
        <v>30</v>
      </c>
      <c r="H417">
        <v>3</v>
      </c>
      <c r="I417">
        <v>115300</v>
      </c>
      <c r="J417">
        <v>345900</v>
      </c>
      <c r="K417" t="s">
        <v>54</v>
      </c>
      <c r="L417" t="s">
        <v>47</v>
      </c>
      <c r="M417" t="b">
        <v>0</v>
      </c>
      <c r="N417" t="s">
        <v>33</v>
      </c>
    </row>
    <row r="418" spans="1:14" x14ac:dyDescent="0.35">
      <c r="A418" t="s">
        <v>638</v>
      </c>
      <c r="B418" t="s">
        <v>123</v>
      </c>
      <c r="C418" t="s">
        <v>58</v>
      </c>
      <c r="D418" t="s">
        <v>59</v>
      </c>
      <c r="E418" t="s">
        <v>18</v>
      </c>
      <c r="F418" t="s">
        <v>19</v>
      </c>
      <c r="G418" t="s">
        <v>30</v>
      </c>
      <c r="H418">
        <v>1</v>
      </c>
      <c r="I418">
        <v>20300</v>
      </c>
      <c r="J418">
        <v>20300</v>
      </c>
      <c r="K418" t="s">
        <v>31</v>
      </c>
      <c r="L418" t="s">
        <v>32</v>
      </c>
      <c r="M418" t="b">
        <v>1</v>
      </c>
      <c r="N418" t="s">
        <v>23</v>
      </c>
    </row>
    <row r="419" spans="1:14" x14ac:dyDescent="0.35">
      <c r="A419" t="s">
        <v>639</v>
      </c>
      <c r="B419" t="s">
        <v>274</v>
      </c>
      <c r="C419" t="s">
        <v>16</v>
      </c>
      <c r="D419" t="s">
        <v>17</v>
      </c>
      <c r="E419" t="s">
        <v>18</v>
      </c>
      <c r="F419" t="s">
        <v>19</v>
      </c>
      <c r="G419" t="s">
        <v>30</v>
      </c>
      <c r="H419">
        <v>2</v>
      </c>
      <c r="I419">
        <v>22700</v>
      </c>
      <c r="J419">
        <v>45400</v>
      </c>
      <c r="K419" t="s">
        <v>54</v>
      </c>
      <c r="L419" t="s">
        <v>109</v>
      </c>
      <c r="M419" t="b">
        <v>1</v>
      </c>
      <c r="N419" t="s">
        <v>23</v>
      </c>
    </row>
    <row r="420" spans="1:14" x14ac:dyDescent="0.35">
      <c r="A420" t="s">
        <v>640</v>
      </c>
      <c r="B420" t="s">
        <v>161</v>
      </c>
      <c r="C420" t="s">
        <v>58</v>
      </c>
      <c r="D420" t="s">
        <v>59</v>
      </c>
      <c r="E420" t="s">
        <v>28</v>
      </c>
      <c r="F420" t="s">
        <v>29</v>
      </c>
      <c r="G420" t="s">
        <v>30</v>
      </c>
      <c r="H420">
        <v>1</v>
      </c>
      <c r="I420">
        <v>119400</v>
      </c>
      <c r="J420">
        <v>119400</v>
      </c>
      <c r="K420" t="s">
        <v>21</v>
      </c>
      <c r="L420" t="s">
        <v>32</v>
      </c>
      <c r="M420" t="b">
        <v>1</v>
      </c>
      <c r="N420" t="s">
        <v>33</v>
      </c>
    </row>
    <row r="421" spans="1:14" x14ac:dyDescent="0.35">
      <c r="A421" t="s">
        <v>641</v>
      </c>
      <c r="B421" t="s">
        <v>83</v>
      </c>
      <c r="C421" t="s">
        <v>16</v>
      </c>
      <c r="D421" t="s">
        <v>17</v>
      </c>
      <c r="E421" t="s">
        <v>18</v>
      </c>
      <c r="F421" t="s">
        <v>19</v>
      </c>
      <c r="G421" t="s">
        <v>30</v>
      </c>
      <c r="H421">
        <v>2</v>
      </c>
      <c r="I421">
        <v>21400</v>
      </c>
      <c r="J421">
        <v>42800</v>
      </c>
      <c r="K421" t="s">
        <v>21</v>
      </c>
      <c r="L421" t="s">
        <v>47</v>
      </c>
      <c r="M421" t="b">
        <v>0</v>
      </c>
      <c r="N421" t="s">
        <v>23</v>
      </c>
    </row>
    <row r="422" spans="1:14" x14ac:dyDescent="0.35">
      <c r="A422" t="s">
        <v>642</v>
      </c>
      <c r="B422" t="s">
        <v>186</v>
      </c>
      <c r="C422" t="s">
        <v>73</v>
      </c>
      <c r="D422" t="s">
        <v>43</v>
      </c>
      <c r="E422" t="s">
        <v>97</v>
      </c>
      <c r="F422" t="s">
        <v>29</v>
      </c>
      <c r="G422" t="s">
        <v>30</v>
      </c>
      <c r="H422">
        <v>3</v>
      </c>
      <c r="I422">
        <v>30800</v>
      </c>
      <c r="J422">
        <v>92400</v>
      </c>
      <c r="K422" t="s">
        <v>38</v>
      </c>
      <c r="L422" t="s">
        <v>109</v>
      </c>
      <c r="M422" t="b">
        <v>1</v>
      </c>
      <c r="N422" t="s">
        <v>33</v>
      </c>
    </row>
    <row r="423" spans="1:14" x14ac:dyDescent="0.35">
      <c r="A423" t="s">
        <v>643</v>
      </c>
      <c r="B423" t="s">
        <v>176</v>
      </c>
      <c r="C423" t="s">
        <v>67</v>
      </c>
      <c r="D423" t="s">
        <v>59</v>
      </c>
      <c r="E423" t="s">
        <v>28</v>
      </c>
      <c r="F423" t="s">
        <v>29</v>
      </c>
      <c r="G423" t="s">
        <v>20</v>
      </c>
      <c r="H423">
        <v>1</v>
      </c>
      <c r="I423">
        <v>123200</v>
      </c>
      <c r="J423">
        <v>123200</v>
      </c>
      <c r="K423" t="s">
        <v>70</v>
      </c>
      <c r="L423" t="s">
        <v>55</v>
      </c>
      <c r="M423" t="b">
        <v>0</v>
      </c>
      <c r="N423" t="s">
        <v>33</v>
      </c>
    </row>
    <row r="424" spans="1:14" x14ac:dyDescent="0.35">
      <c r="A424" t="s">
        <v>644</v>
      </c>
      <c r="B424" t="s">
        <v>456</v>
      </c>
      <c r="C424" t="s">
        <v>65</v>
      </c>
      <c r="D424" t="s">
        <v>27</v>
      </c>
      <c r="E424" t="s">
        <v>97</v>
      </c>
      <c r="F424" t="s">
        <v>29</v>
      </c>
      <c r="G424" t="s">
        <v>30</v>
      </c>
      <c r="H424">
        <v>1</v>
      </c>
      <c r="I424">
        <v>32500</v>
      </c>
      <c r="J424">
        <v>32500</v>
      </c>
      <c r="K424" t="s">
        <v>31</v>
      </c>
      <c r="L424" t="s">
        <v>47</v>
      </c>
      <c r="M424" t="b">
        <v>0</v>
      </c>
      <c r="N424" t="s">
        <v>33</v>
      </c>
    </row>
    <row r="425" spans="1:14" x14ac:dyDescent="0.35">
      <c r="A425" t="s">
        <v>645</v>
      </c>
      <c r="B425" t="s">
        <v>167</v>
      </c>
      <c r="C425" t="s">
        <v>42</v>
      </c>
      <c r="D425" t="s">
        <v>43</v>
      </c>
      <c r="E425" t="s">
        <v>120</v>
      </c>
      <c r="F425" t="s">
        <v>45</v>
      </c>
      <c r="G425" t="s">
        <v>30</v>
      </c>
      <c r="H425">
        <v>1</v>
      </c>
      <c r="I425">
        <v>50800</v>
      </c>
      <c r="J425">
        <v>50800</v>
      </c>
      <c r="K425" t="s">
        <v>31</v>
      </c>
      <c r="L425" t="s">
        <v>109</v>
      </c>
      <c r="M425" t="b">
        <v>1</v>
      </c>
      <c r="N425" t="s">
        <v>33</v>
      </c>
    </row>
    <row r="426" spans="1:14" x14ac:dyDescent="0.35">
      <c r="A426" t="s">
        <v>646</v>
      </c>
      <c r="B426" t="s">
        <v>87</v>
      </c>
      <c r="C426" t="s">
        <v>42</v>
      </c>
      <c r="D426" t="s">
        <v>43</v>
      </c>
      <c r="E426" t="s">
        <v>28</v>
      </c>
      <c r="F426" t="s">
        <v>29</v>
      </c>
      <c r="G426" t="s">
        <v>30</v>
      </c>
      <c r="H426">
        <v>1</v>
      </c>
      <c r="I426">
        <v>110900</v>
      </c>
      <c r="J426">
        <v>110900</v>
      </c>
      <c r="K426" t="s">
        <v>70</v>
      </c>
      <c r="L426" t="s">
        <v>88</v>
      </c>
      <c r="M426" t="b">
        <v>0</v>
      </c>
      <c r="N426" t="s">
        <v>33</v>
      </c>
    </row>
    <row r="427" spans="1:14" x14ac:dyDescent="0.35">
      <c r="A427" t="s">
        <v>647</v>
      </c>
      <c r="B427" t="s">
        <v>477</v>
      </c>
      <c r="C427" t="s">
        <v>65</v>
      </c>
      <c r="D427" t="s">
        <v>27</v>
      </c>
      <c r="E427" t="s">
        <v>97</v>
      </c>
      <c r="F427" t="s">
        <v>29</v>
      </c>
      <c r="G427" t="s">
        <v>30</v>
      </c>
      <c r="H427">
        <v>4</v>
      </c>
      <c r="I427">
        <v>29600</v>
      </c>
      <c r="J427">
        <v>118400</v>
      </c>
      <c r="K427" t="s">
        <v>70</v>
      </c>
      <c r="L427" t="s">
        <v>109</v>
      </c>
      <c r="M427" t="b">
        <v>1</v>
      </c>
      <c r="N427" t="s">
        <v>33</v>
      </c>
    </row>
    <row r="428" spans="1:14" x14ac:dyDescent="0.35">
      <c r="A428" t="s">
        <v>648</v>
      </c>
      <c r="B428" t="s">
        <v>245</v>
      </c>
      <c r="C428" t="s">
        <v>65</v>
      </c>
      <c r="D428" t="s">
        <v>27</v>
      </c>
      <c r="E428" t="s">
        <v>80</v>
      </c>
      <c r="F428" t="s">
        <v>81</v>
      </c>
      <c r="G428" t="s">
        <v>20</v>
      </c>
      <c r="H428">
        <v>1</v>
      </c>
      <c r="I428">
        <v>11400</v>
      </c>
      <c r="J428">
        <v>11400</v>
      </c>
      <c r="K428" t="s">
        <v>31</v>
      </c>
      <c r="L428" t="s">
        <v>22</v>
      </c>
      <c r="M428" t="b">
        <v>0</v>
      </c>
      <c r="N428" t="s">
        <v>23</v>
      </c>
    </row>
    <row r="429" spans="1:14" x14ac:dyDescent="0.35">
      <c r="A429" t="s">
        <v>649</v>
      </c>
      <c r="B429" t="s">
        <v>473</v>
      </c>
      <c r="C429" t="s">
        <v>50</v>
      </c>
      <c r="D429" t="s">
        <v>51</v>
      </c>
      <c r="E429" t="s">
        <v>52</v>
      </c>
      <c r="F429" t="s">
        <v>53</v>
      </c>
      <c r="G429" t="s">
        <v>30</v>
      </c>
      <c r="H429">
        <v>4</v>
      </c>
      <c r="I429">
        <v>9000</v>
      </c>
      <c r="J429">
        <v>36000</v>
      </c>
      <c r="K429" t="s">
        <v>31</v>
      </c>
      <c r="L429" t="s">
        <v>22</v>
      </c>
      <c r="M429" t="b">
        <v>0</v>
      </c>
      <c r="N429" t="s">
        <v>23</v>
      </c>
    </row>
    <row r="430" spans="1:14" x14ac:dyDescent="0.35">
      <c r="A430" t="s">
        <v>650</v>
      </c>
      <c r="B430" t="s">
        <v>358</v>
      </c>
      <c r="C430" t="s">
        <v>16</v>
      </c>
      <c r="D430" t="s">
        <v>17</v>
      </c>
      <c r="E430" t="s">
        <v>80</v>
      </c>
      <c r="F430" t="s">
        <v>81</v>
      </c>
      <c r="G430" t="s">
        <v>30</v>
      </c>
      <c r="H430">
        <v>1</v>
      </c>
      <c r="I430">
        <v>11900</v>
      </c>
      <c r="J430">
        <v>11900</v>
      </c>
      <c r="K430" t="s">
        <v>21</v>
      </c>
      <c r="L430" t="s">
        <v>47</v>
      </c>
      <c r="M430" t="b">
        <v>0</v>
      </c>
      <c r="N430" t="s">
        <v>23</v>
      </c>
    </row>
    <row r="431" spans="1:14" x14ac:dyDescent="0.35">
      <c r="A431" t="s">
        <v>651</v>
      </c>
      <c r="B431" t="s">
        <v>249</v>
      </c>
      <c r="C431" t="s">
        <v>67</v>
      </c>
      <c r="D431" t="s">
        <v>59</v>
      </c>
      <c r="E431" t="s">
        <v>36</v>
      </c>
      <c r="F431" t="s">
        <v>37</v>
      </c>
      <c r="G431" t="s">
        <v>30</v>
      </c>
      <c r="H431">
        <v>1</v>
      </c>
      <c r="I431">
        <v>40000</v>
      </c>
      <c r="J431">
        <v>40000</v>
      </c>
      <c r="K431" t="s">
        <v>70</v>
      </c>
      <c r="L431" t="s">
        <v>22</v>
      </c>
      <c r="M431" t="b">
        <v>0</v>
      </c>
      <c r="N431" t="s">
        <v>33</v>
      </c>
    </row>
    <row r="432" spans="1:14" x14ac:dyDescent="0.35">
      <c r="A432" t="s">
        <v>652</v>
      </c>
      <c r="B432" t="s">
        <v>87</v>
      </c>
      <c r="C432" t="s">
        <v>16</v>
      </c>
      <c r="D432" t="s">
        <v>17</v>
      </c>
      <c r="E432" t="s">
        <v>94</v>
      </c>
      <c r="F432" t="s">
        <v>37</v>
      </c>
      <c r="G432" t="s">
        <v>30</v>
      </c>
      <c r="H432">
        <v>1</v>
      </c>
      <c r="I432">
        <v>18700</v>
      </c>
      <c r="J432">
        <v>18700</v>
      </c>
      <c r="K432" t="s">
        <v>70</v>
      </c>
      <c r="L432" t="s">
        <v>88</v>
      </c>
      <c r="M432" t="b">
        <v>0</v>
      </c>
      <c r="N432" t="s">
        <v>23</v>
      </c>
    </row>
    <row r="433" spans="1:14" x14ac:dyDescent="0.35">
      <c r="A433" t="s">
        <v>653</v>
      </c>
      <c r="B433" t="s">
        <v>270</v>
      </c>
      <c r="C433" t="s">
        <v>67</v>
      </c>
      <c r="D433" t="s">
        <v>59</v>
      </c>
      <c r="E433" t="s">
        <v>97</v>
      </c>
      <c r="F433" t="s">
        <v>29</v>
      </c>
      <c r="G433" t="s">
        <v>30</v>
      </c>
      <c r="H433">
        <v>4</v>
      </c>
      <c r="I433">
        <v>32600</v>
      </c>
      <c r="J433">
        <v>130400</v>
      </c>
      <c r="K433" t="s">
        <v>54</v>
      </c>
      <c r="L433" t="s">
        <v>55</v>
      </c>
      <c r="M433" t="b">
        <v>0</v>
      </c>
      <c r="N433" t="s">
        <v>33</v>
      </c>
    </row>
    <row r="434" spans="1:14" x14ac:dyDescent="0.35">
      <c r="A434" t="s">
        <v>654</v>
      </c>
      <c r="B434" t="s">
        <v>62</v>
      </c>
      <c r="C434" t="s">
        <v>73</v>
      </c>
      <c r="D434" t="s">
        <v>43</v>
      </c>
      <c r="E434" t="s">
        <v>52</v>
      </c>
      <c r="F434" t="s">
        <v>53</v>
      </c>
      <c r="G434" t="s">
        <v>30</v>
      </c>
      <c r="H434">
        <v>1</v>
      </c>
      <c r="I434">
        <v>8900</v>
      </c>
      <c r="J434">
        <v>8900</v>
      </c>
      <c r="K434" t="s">
        <v>31</v>
      </c>
      <c r="L434" t="s">
        <v>32</v>
      </c>
      <c r="M434" t="b">
        <v>1</v>
      </c>
      <c r="N434" t="s">
        <v>23</v>
      </c>
    </row>
    <row r="435" spans="1:14" x14ac:dyDescent="0.35">
      <c r="A435" t="s">
        <v>655</v>
      </c>
      <c r="B435" t="s">
        <v>388</v>
      </c>
      <c r="C435" t="s">
        <v>58</v>
      </c>
      <c r="D435" t="s">
        <v>59</v>
      </c>
      <c r="E435" t="s">
        <v>97</v>
      </c>
      <c r="F435" t="s">
        <v>29</v>
      </c>
      <c r="G435" t="s">
        <v>20</v>
      </c>
      <c r="H435">
        <v>1</v>
      </c>
      <c r="I435">
        <v>30200</v>
      </c>
      <c r="J435">
        <v>30200</v>
      </c>
      <c r="K435" t="s">
        <v>38</v>
      </c>
      <c r="L435" t="s">
        <v>109</v>
      </c>
      <c r="M435" t="b">
        <v>1</v>
      </c>
      <c r="N435" t="s">
        <v>33</v>
      </c>
    </row>
    <row r="436" spans="1:14" x14ac:dyDescent="0.35">
      <c r="A436" t="s">
        <v>656</v>
      </c>
      <c r="B436" t="s">
        <v>249</v>
      </c>
      <c r="C436" t="s">
        <v>67</v>
      </c>
      <c r="D436" t="s">
        <v>59</v>
      </c>
      <c r="E436" t="s">
        <v>52</v>
      </c>
      <c r="F436" t="s">
        <v>53</v>
      </c>
      <c r="G436" t="s">
        <v>30</v>
      </c>
      <c r="H436">
        <v>1</v>
      </c>
      <c r="I436">
        <v>8700</v>
      </c>
      <c r="J436">
        <v>8700</v>
      </c>
      <c r="K436" t="s">
        <v>70</v>
      </c>
      <c r="L436" t="s">
        <v>22</v>
      </c>
      <c r="M436" t="b">
        <v>0</v>
      </c>
      <c r="N436" t="s">
        <v>23</v>
      </c>
    </row>
    <row r="437" spans="1:14" x14ac:dyDescent="0.35">
      <c r="A437" t="s">
        <v>657</v>
      </c>
      <c r="B437" t="s">
        <v>658</v>
      </c>
      <c r="C437" t="s">
        <v>26</v>
      </c>
      <c r="D437" t="s">
        <v>27</v>
      </c>
      <c r="E437" t="s">
        <v>102</v>
      </c>
      <c r="F437" t="s">
        <v>29</v>
      </c>
      <c r="G437" t="s">
        <v>20</v>
      </c>
      <c r="H437">
        <v>1</v>
      </c>
      <c r="I437">
        <v>29900</v>
      </c>
      <c r="J437">
        <v>29900</v>
      </c>
      <c r="K437" t="s">
        <v>38</v>
      </c>
      <c r="L437" t="s">
        <v>39</v>
      </c>
      <c r="M437" t="b">
        <v>0</v>
      </c>
      <c r="N437" t="s">
        <v>33</v>
      </c>
    </row>
    <row r="438" spans="1:14" x14ac:dyDescent="0.35">
      <c r="A438" t="s">
        <v>659</v>
      </c>
      <c r="B438" t="s">
        <v>398</v>
      </c>
      <c r="C438" t="s">
        <v>65</v>
      </c>
      <c r="D438" t="s">
        <v>27</v>
      </c>
      <c r="E438" t="s">
        <v>60</v>
      </c>
      <c r="F438" t="s">
        <v>53</v>
      </c>
      <c r="G438" t="s">
        <v>30</v>
      </c>
      <c r="H438">
        <v>1</v>
      </c>
      <c r="I438">
        <v>7000</v>
      </c>
      <c r="J438">
        <v>7000</v>
      </c>
      <c r="K438" t="s">
        <v>38</v>
      </c>
      <c r="L438" t="s">
        <v>47</v>
      </c>
      <c r="M438" t="b">
        <v>0</v>
      </c>
      <c r="N438" t="s">
        <v>23</v>
      </c>
    </row>
    <row r="439" spans="1:14" x14ac:dyDescent="0.35">
      <c r="A439" t="s">
        <v>660</v>
      </c>
      <c r="B439" t="s">
        <v>479</v>
      </c>
      <c r="C439" t="s">
        <v>26</v>
      </c>
      <c r="D439" t="s">
        <v>27</v>
      </c>
      <c r="E439" t="s">
        <v>44</v>
      </c>
      <c r="F439" t="s">
        <v>45</v>
      </c>
      <c r="G439" t="s">
        <v>30</v>
      </c>
      <c r="H439">
        <v>2</v>
      </c>
      <c r="I439">
        <v>26100</v>
      </c>
      <c r="J439">
        <v>52200</v>
      </c>
      <c r="K439" t="s">
        <v>38</v>
      </c>
      <c r="L439" t="s">
        <v>39</v>
      </c>
      <c r="M439" t="b">
        <v>0</v>
      </c>
      <c r="N439" t="s">
        <v>23</v>
      </c>
    </row>
    <row r="440" spans="1:14" x14ac:dyDescent="0.35">
      <c r="A440" t="s">
        <v>661</v>
      </c>
      <c r="B440" t="s">
        <v>662</v>
      </c>
      <c r="C440" t="s">
        <v>67</v>
      </c>
      <c r="D440" t="s">
        <v>59</v>
      </c>
      <c r="E440" t="s">
        <v>74</v>
      </c>
      <c r="F440" t="s">
        <v>75</v>
      </c>
      <c r="G440" t="s">
        <v>30</v>
      </c>
      <c r="H440">
        <v>1</v>
      </c>
      <c r="I440">
        <v>4500</v>
      </c>
      <c r="J440">
        <v>4500</v>
      </c>
      <c r="K440" t="s">
        <v>21</v>
      </c>
      <c r="L440" t="s">
        <v>39</v>
      </c>
      <c r="M440" t="b">
        <v>0</v>
      </c>
      <c r="N440" t="s">
        <v>23</v>
      </c>
    </row>
    <row r="441" spans="1:14" x14ac:dyDescent="0.35">
      <c r="A441" t="s">
        <v>663</v>
      </c>
      <c r="B441" t="s">
        <v>85</v>
      </c>
      <c r="C441" t="s">
        <v>58</v>
      </c>
      <c r="D441" t="s">
        <v>59</v>
      </c>
      <c r="E441" t="s">
        <v>28</v>
      </c>
      <c r="F441" t="s">
        <v>29</v>
      </c>
      <c r="G441" t="s">
        <v>30</v>
      </c>
      <c r="H441">
        <v>3</v>
      </c>
      <c r="I441">
        <v>121500</v>
      </c>
      <c r="J441">
        <v>364500</v>
      </c>
      <c r="K441" t="s">
        <v>70</v>
      </c>
      <c r="L441" t="s">
        <v>32</v>
      </c>
      <c r="M441" t="b">
        <v>1</v>
      </c>
      <c r="N441" t="s">
        <v>33</v>
      </c>
    </row>
    <row r="442" spans="1:14" x14ac:dyDescent="0.35">
      <c r="A442" t="s">
        <v>664</v>
      </c>
      <c r="B442" t="s">
        <v>178</v>
      </c>
      <c r="C442" t="s">
        <v>26</v>
      </c>
      <c r="D442" t="s">
        <v>27</v>
      </c>
      <c r="E442" t="s">
        <v>94</v>
      </c>
      <c r="F442" t="s">
        <v>37</v>
      </c>
      <c r="G442" t="s">
        <v>30</v>
      </c>
      <c r="H442">
        <v>3</v>
      </c>
      <c r="I442">
        <v>19400</v>
      </c>
      <c r="J442">
        <v>58200</v>
      </c>
      <c r="K442" t="s">
        <v>38</v>
      </c>
      <c r="L442" t="s">
        <v>47</v>
      </c>
      <c r="M442" t="b">
        <v>0</v>
      </c>
      <c r="N442" t="s">
        <v>23</v>
      </c>
    </row>
    <row r="443" spans="1:14" x14ac:dyDescent="0.35">
      <c r="A443" t="s">
        <v>665</v>
      </c>
      <c r="B443" t="s">
        <v>354</v>
      </c>
      <c r="C443" t="s">
        <v>67</v>
      </c>
      <c r="D443" t="s">
        <v>59</v>
      </c>
      <c r="E443" t="s">
        <v>60</v>
      </c>
      <c r="F443" t="s">
        <v>53</v>
      </c>
      <c r="G443" t="s">
        <v>20</v>
      </c>
      <c r="H443">
        <v>1</v>
      </c>
      <c r="I443">
        <v>7000</v>
      </c>
      <c r="J443">
        <v>7000</v>
      </c>
      <c r="K443" t="s">
        <v>31</v>
      </c>
      <c r="L443" t="s">
        <v>109</v>
      </c>
      <c r="M443" t="b">
        <v>1</v>
      </c>
      <c r="N443" t="s">
        <v>23</v>
      </c>
    </row>
    <row r="444" spans="1:14" x14ac:dyDescent="0.35">
      <c r="A444" t="s">
        <v>666</v>
      </c>
      <c r="B444" t="s">
        <v>119</v>
      </c>
      <c r="C444" t="s">
        <v>73</v>
      </c>
      <c r="D444" t="s">
        <v>43</v>
      </c>
      <c r="E444" t="s">
        <v>44</v>
      </c>
      <c r="F444" t="s">
        <v>45</v>
      </c>
      <c r="G444" t="s">
        <v>30</v>
      </c>
      <c r="H444">
        <v>1</v>
      </c>
      <c r="I444">
        <v>27000</v>
      </c>
      <c r="J444">
        <v>27000</v>
      </c>
      <c r="K444" t="s">
        <v>54</v>
      </c>
      <c r="L444" t="s">
        <v>55</v>
      </c>
      <c r="M444" t="b">
        <v>0</v>
      </c>
      <c r="N444" t="s">
        <v>23</v>
      </c>
    </row>
    <row r="445" spans="1:14" x14ac:dyDescent="0.35">
      <c r="A445" t="s">
        <v>667</v>
      </c>
      <c r="B445" t="s">
        <v>146</v>
      </c>
      <c r="C445" t="s">
        <v>67</v>
      </c>
      <c r="D445" t="s">
        <v>59</v>
      </c>
      <c r="E445" t="s">
        <v>60</v>
      </c>
      <c r="F445" t="s">
        <v>53</v>
      </c>
      <c r="G445" t="s">
        <v>30</v>
      </c>
      <c r="H445">
        <v>1</v>
      </c>
      <c r="I445">
        <v>6800</v>
      </c>
      <c r="J445">
        <v>6800</v>
      </c>
      <c r="K445" t="s">
        <v>54</v>
      </c>
      <c r="L445" t="s">
        <v>22</v>
      </c>
      <c r="M445" t="b">
        <v>0</v>
      </c>
      <c r="N445" t="s">
        <v>23</v>
      </c>
    </row>
    <row r="446" spans="1:14" x14ac:dyDescent="0.35">
      <c r="A446" t="s">
        <v>668</v>
      </c>
      <c r="B446" t="s">
        <v>87</v>
      </c>
      <c r="C446" t="s">
        <v>50</v>
      </c>
      <c r="D446" t="s">
        <v>51</v>
      </c>
      <c r="E446" t="s">
        <v>94</v>
      </c>
      <c r="F446" t="s">
        <v>37</v>
      </c>
      <c r="G446" t="s">
        <v>30</v>
      </c>
      <c r="H446">
        <v>4</v>
      </c>
      <c r="I446">
        <v>19200</v>
      </c>
      <c r="J446">
        <v>76800</v>
      </c>
      <c r="K446" t="s">
        <v>70</v>
      </c>
      <c r="L446" t="s">
        <v>88</v>
      </c>
      <c r="M446" t="b">
        <v>0</v>
      </c>
      <c r="N446" t="s">
        <v>23</v>
      </c>
    </row>
    <row r="447" spans="1:14" x14ac:dyDescent="0.35">
      <c r="A447" t="s">
        <v>669</v>
      </c>
      <c r="B447" t="s">
        <v>163</v>
      </c>
      <c r="C447" t="s">
        <v>26</v>
      </c>
      <c r="D447" t="s">
        <v>27</v>
      </c>
      <c r="E447" t="s">
        <v>44</v>
      </c>
      <c r="F447" t="s">
        <v>45</v>
      </c>
      <c r="G447" t="s">
        <v>30</v>
      </c>
      <c r="H447">
        <v>2</v>
      </c>
      <c r="I447">
        <v>28400</v>
      </c>
      <c r="J447">
        <v>56800</v>
      </c>
      <c r="K447" t="s">
        <v>31</v>
      </c>
      <c r="L447" t="s">
        <v>109</v>
      </c>
      <c r="M447" t="b">
        <v>1</v>
      </c>
      <c r="N447" t="s">
        <v>33</v>
      </c>
    </row>
    <row r="448" spans="1:14" x14ac:dyDescent="0.35">
      <c r="A448" t="s">
        <v>670</v>
      </c>
      <c r="B448" t="s">
        <v>79</v>
      </c>
      <c r="C448" t="s">
        <v>65</v>
      </c>
      <c r="D448" t="s">
        <v>27</v>
      </c>
      <c r="E448" t="s">
        <v>102</v>
      </c>
      <c r="F448" t="s">
        <v>29</v>
      </c>
      <c r="G448" t="s">
        <v>30</v>
      </c>
      <c r="H448">
        <v>1</v>
      </c>
      <c r="I448">
        <v>28400</v>
      </c>
      <c r="J448">
        <v>28400</v>
      </c>
      <c r="K448" t="s">
        <v>21</v>
      </c>
      <c r="L448" t="s">
        <v>39</v>
      </c>
      <c r="M448" t="b">
        <v>0</v>
      </c>
      <c r="N448" t="s">
        <v>33</v>
      </c>
    </row>
    <row r="449" spans="1:14" x14ac:dyDescent="0.35">
      <c r="A449" t="s">
        <v>671</v>
      </c>
      <c r="B449" t="s">
        <v>111</v>
      </c>
      <c r="C449" t="s">
        <v>67</v>
      </c>
      <c r="D449" t="s">
        <v>59</v>
      </c>
      <c r="E449" t="s">
        <v>120</v>
      </c>
      <c r="F449" t="s">
        <v>45</v>
      </c>
      <c r="G449" t="s">
        <v>30</v>
      </c>
      <c r="H449">
        <v>1</v>
      </c>
      <c r="I449">
        <v>52200</v>
      </c>
      <c r="J449">
        <v>52200</v>
      </c>
      <c r="K449" t="s">
        <v>31</v>
      </c>
      <c r="L449" t="s">
        <v>22</v>
      </c>
      <c r="M449" t="b">
        <v>0</v>
      </c>
      <c r="N449" t="s">
        <v>33</v>
      </c>
    </row>
    <row r="450" spans="1:14" x14ac:dyDescent="0.35">
      <c r="A450" t="s">
        <v>672</v>
      </c>
      <c r="B450" t="s">
        <v>226</v>
      </c>
      <c r="C450" t="s">
        <v>50</v>
      </c>
      <c r="D450" t="s">
        <v>51</v>
      </c>
      <c r="E450" t="s">
        <v>18</v>
      </c>
      <c r="F450" t="s">
        <v>19</v>
      </c>
      <c r="G450" t="s">
        <v>20</v>
      </c>
      <c r="H450">
        <v>2</v>
      </c>
      <c r="I450">
        <v>22800</v>
      </c>
      <c r="J450">
        <v>45600</v>
      </c>
      <c r="K450" t="s">
        <v>70</v>
      </c>
      <c r="L450" t="s">
        <v>47</v>
      </c>
      <c r="M450" t="b">
        <v>0</v>
      </c>
      <c r="N450" t="s">
        <v>23</v>
      </c>
    </row>
    <row r="451" spans="1:14" x14ac:dyDescent="0.35">
      <c r="A451" t="s">
        <v>673</v>
      </c>
      <c r="B451" t="s">
        <v>192</v>
      </c>
      <c r="C451" t="s">
        <v>73</v>
      </c>
      <c r="D451" t="s">
        <v>43</v>
      </c>
      <c r="E451" t="s">
        <v>60</v>
      </c>
      <c r="F451" t="s">
        <v>53</v>
      </c>
      <c r="G451" t="s">
        <v>30</v>
      </c>
      <c r="H451">
        <v>1</v>
      </c>
      <c r="I451">
        <v>6500</v>
      </c>
      <c r="J451">
        <v>6500</v>
      </c>
      <c r="K451" t="s">
        <v>38</v>
      </c>
      <c r="L451" t="s">
        <v>32</v>
      </c>
      <c r="M451" t="b">
        <v>1</v>
      </c>
      <c r="N451" t="s">
        <v>23</v>
      </c>
    </row>
    <row r="452" spans="1:14" x14ac:dyDescent="0.35">
      <c r="A452" t="s">
        <v>674</v>
      </c>
      <c r="B452" t="s">
        <v>192</v>
      </c>
      <c r="C452" t="s">
        <v>26</v>
      </c>
      <c r="D452" t="s">
        <v>27</v>
      </c>
      <c r="E452" t="s">
        <v>52</v>
      </c>
      <c r="F452" t="s">
        <v>53</v>
      </c>
      <c r="G452" t="s">
        <v>20</v>
      </c>
      <c r="H452">
        <v>1</v>
      </c>
      <c r="I452">
        <v>8200</v>
      </c>
      <c r="J452">
        <v>8200</v>
      </c>
      <c r="K452" t="s">
        <v>38</v>
      </c>
      <c r="L452" t="s">
        <v>32</v>
      </c>
      <c r="M452" t="b">
        <v>1</v>
      </c>
      <c r="N452" t="s">
        <v>23</v>
      </c>
    </row>
    <row r="453" spans="1:14" x14ac:dyDescent="0.35">
      <c r="A453" t="s">
        <v>675</v>
      </c>
      <c r="B453" t="s">
        <v>418</v>
      </c>
      <c r="C453" t="s">
        <v>16</v>
      </c>
      <c r="D453" t="s">
        <v>17</v>
      </c>
      <c r="E453" t="s">
        <v>97</v>
      </c>
      <c r="F453" t="s">
        <v>29</v>
      </c>
      <c r="G453" t="s">
        <v>20</v>
      </c>
      <c r="H453">
        <v>1</v>
      </c>
      <c r="I453">
        <v>32500</v>
      </c>
      <c r="J453">
        <v>32500</v>
      </c>
      <c r="K453" t="s">
        <v>38</v>
      </c>
      <c r="L453" t="s">
        <v>22</v>
      </c>
      <c r="M453" t="b">
        <v>0</v>
      </c>
      <c r="N453" t="s">
        <v>33</v>
      </c>
    </row>
    <row r="454" spans="1:14" x14ac:dyDescent="0.35">
      <c r="A454" t="s">
        <v>676</v>
      </c>
      <c r="B454" t="s">
        <v>41</v>
      </c>
      <c r="C454" t="s">
        <v>26</v>
      </c>
      <c r="D454" t="s">
        <v>27</v>
      </c>
      <c r="E454" t="s">
        <v>120</v>
      </c>
      <c r="F454" t="s">
        <v>45</v>
      </c>
      <c r="G454" t="s">
        <v>30</v>
      </c>
      <c r="H454">
        <v>1</v>
      </c>
      <c r="I454">
        <v>54500</v>
      </c>
      <c r="J454">
        <v>54500</v>
      </c>
      <c r="K454" t="s">
        <v>46</v>
      </c>
      <c r="L454" t="s">
        <v>47</v>
      </c>
      <c r="M454" t="b">
        <v>0</v>
      </c>
      <c r="N454" t="s">
        <v>33</v>
      </c>
    </row>
    <row r="455" spans="1:14" x14ac:dyDescent="0.35">
      <c r="A455" t="s">
        <v>677</v>
      </c>
      <c r="B455" t="s">
        <v>527</v>
      </c>
      <c r="C455" t="s">
        <v>67</v>
      </c>
      <c r="D455" t="s">
        <v>59</v>
      </c>
      <c r="E455" t="s">
        <v>120</v>
      </c>
      <c r="F455" t="s">
        <v>45</v>
      </c>
      <c r="G455" t="s">
        <v>20</v>
      </c>
      <c r="H455">
        <v>1</v>
      </c>
      <c r="I455">
        <v>51000</v>
      </c>
      <c r="J455">
        <v>51000</v>
      </c>
      <c r="K455" t="s">
        <v>31</v>
      </c>
      <c r="L455" t="s">
        <v>22</v>
      </c>
      <c r="M455" t="b">
        <v>0</v>
      </c>
      <c r="N455" t="s">
        <v>33</v>
      </c>
    </row>
    <row r="456" spans="1:14" x14ac:dyDescent="0.35">
      <c r="A456" t="s">
        <v>678</v>
      </c>
      <c r="B456" t="s">
        <v>101</v>
      </c>
      <c r="C456" t="s">
        <v>42</v>
      </c>
      <c r="D456" t="s">
        <v>43</v>
      </c>
      <c r="E456" t="s">
        <v>94</v>
      </c>
      <c r="F456" t="s">
        <v>37</v>
      </c>
      <c r="G456" t="s">
        <v>30</v>
      </c>
      <c r="H456">
        <v>3</v>
      </c>
      <c r="I456">
        <v>17600</v>
      </c>
      <c r="J456">
        <v>52800</v>
      </c>
      <c r="K456" t="s">
        <v>21</v>
      </c>
      <c r="L456" t="s">
        <v>88</v>
      </c>
      <c r="M456" t="b">
        <v>0</v>
      </c>
      <c r="N456" t="s">
        <v>23</v>
      </c>
    </row>
    <row r="457" spans="1:14" x14ac:dyDescent="0.35">
      <c r="A457" t="s">
        <v>679</v>
      </c>
      <c r="B457" t="s">
        <v>680</v>
      </c>
      <c r="C457" t="s">
        <v>26</v>
      </c>
      <c r="D457" t="s">
        <v>27</v>
      </c>
      <c r="E457" t="s">
        <v>102</v>
      </c>
      <c r="F457" t="s">
        <v>29</v>
      </c>
      <c r="G457" t="s">
        <v>20</v>
      </c>
      <c r="H457">
        <v>3</v>
      </c>
      <c r="I457">
        <v>28000</v>
      </c>
      <c r="J457">
        <v>84000</v>
      </c>
      <c r="K457" t="s">
        <v>38</v>
      </c>
      <c r="L457" t="s">
        <v>88</v>
      </c>
      <c r="M457" t="b">
        <v>0</v>
      </c>
      <c r="N457" t="s">
        <v>33</v>
      </c>
    </row>
    <row r="458" spans="1:14" x14ac:dyDescent="0.35">
      <c r="A458" t="s">
        <v>681</v>
      </c>
      <c r="B458" t="s">
        <v>176</v>
      </c>
      <c r="C458" t="s">
        <v>73</v>
      </c>
      <c r="D458" t="s">
        <v>43</v>
      </c>
      <c r="E458" t="s">
        <v>94</v>
      </c>
      <c r="F458" t="s">
        <v>37</v>
      </c>
      <c r="G458" t="s">
        <v>30</v>
      </c>
      <c r="H458">
        <v>1</v>
      </c>
      <c r="I458">
        <v>18200</v>
      </c>
      <c r="J458">
        <v>18200</v>
      </c>
      <c r="K458" t="s">
        <v>70</v>
      </c>
      <c r="L458" t="s">
        <v>55</v>
      </c>
      <c r="M458" t="b">
        <v>0</v>
      </c>
      <c r="N458" t="s">
        <v>23</v>
      </c>
    </row>
    <row r="459" spans="1:14" x14ac:dyDescent="0.35">
      <c r="A459" t="s">
        <v>682</v>
      </c>
      <c r="B459" t="s">
        <v>315</v>
      </c>
      <c r="C459" t="s">
        <v>58</v>
      </c>
      <c r="D459" t="s">
        <v>59</v>
      </c>
      <c r="E459" t="s">
        <v>120</v>
      </c>
      <c r="F459" t="s">
        <v>45</v>
      </c>
      <c r="G459" t="s">
        <v>20</v>
      </c>
      <c r="H459">
        <v>1</v>
      </c>
      <c r="I459">
        <v>53000</v>
      </c>
      <c r="J459">
        <v>53000</v>
      </c>
      <c r="K459" t="s">
        <v>54</v>
      </c>
      <c r="L459" t="s">
        <v>22</v>
      </c>
      <c r="M459" t="b">
        <v>0</v>
      </c>
      <c r="N459" t="s">
        <v>33</v>
      </c>
    </row>
    <row r="460" spans="1:14" x14ac:dyDescent="0.35">
      <c r="A460" t="s">
        <v>683</v>
      </c>
      <c r="B460" t="s">
        <v>154</v>
      </c>
      <c r="C460" t="s">
        <v>58</v>
      </c>
      <c r="D460" t="s">
        <v>59</v>
      </c>
      <c r="E460" t="s">
        <v>97</v>
      </c>
      <c r="F460" t="s">
        <v>29</v>
      </c>
      <c r="G460" t="s">
        <v>30</v>
      </c>
      <c r="H460">
        <v>1</v>
      </c>
      <c r="I460">
        <v>33800</v>
      </c>
      <c r="J460">
        <v>33800</v>
      </c>
      <c r="K460" t="s">
        <v>46</v>
      </c>
      <c r="L460" t="s">
        <v>88</v>
      </c>
      <c r="M460" t="b">
        <v>0</v>
      </c>
      <c r="N460" t="s">
        <v>33</v>
      </c>
    </row>
    <row r="461" spans="1:14" x14ac:dyDescent="0.35">
      <c r="A461" t="s">
        <v>684</v>
      </c>
      <c r="B461" t="s">
        <v>533</v>
      </c>
      <c r="C461" t="s">
        <v>67</v>
      </c>
      <c r="D461" t="s">
        <v>59</v>
      </c>
      <c r="E461" t="s">
        <v>18</v>
      </c>
      <c r="F461" t="s">
        <v>19</v>
      </c>
      <c r="G461" t="s">
        <v>30</v>
      </c>
      <c r="H461">
        <v>1</v>
      </c>
      <c r="I461">
        <v>22200</v>
      </c>
      <c r="J461">
        <v>22200</v>
      </c>
      <c r="K461" t="s">
        <v>54</v>
      </c>
      <c r="L461" t="s">
        <v>88</v>
      </c>
      <c r="M461" t="b">
        <v>0</v>
      </c>
      <c r="N461" t="s">
        <v>23</v>
      </c>
    </row>
    <row r="462" spans="1:14" x14ac:dyDescent="0.35">
      <c r="A462" t="s">
        <v>685</v>
      </c>
      <c r="B462" t="s">
        <v>686</v>
      </c>
      <c r="C462" t="s">
        <v>65</v>
      </c>
      <c r="D462" t="s">
        <v>27</v>
      </c>
      <c r="E462" t="s">
        <v>44</v>
      </c>
      <c r="F462" t="s">
        <v>45</v>
      </c>
      <c r="G462" t="s">
        <v>20</v>
      </c>
      <c r="H462">
        <v>1</v>
      </c>
      <c r="I462">
        <v>26600</v>
      </c>
      <c r="J462">
        <v>26600</v>
      </c>
      <c r="K462" t="s">
        <v>38</v>
      </c>
      <c r="L462" t="s">
        <v>55</v>
      </c>
      <c r="M462" t="b">
        <v>0</v>
      </c>
      <c r="N462" t="s">
        <v>23</v>
      </c>
    </row>
    <row r="463" spans="1:14" x14ac:dyDescent="0.35">
      <c r="A463" t="s">
        <v>687</v>
      </c>
      <c r="B463" t="s">
        <v>312</v>
      </c>
      <c r="C463" t="s">
        <v>65</v>
      </c>
      <c r="D463" t="s">
        <v>27</v>
      </c>
      <c r="E463" t="s">
        <v>36</v>
      </c>
      <c r="F463" t="s">
        <v>37</v>
      </c>
      <c r="G463" t="s">
        <v>30</v>
      </c>
      <c r="H463">
        <v>1</v>
      </c>
      <c r="I463">
        <v>39000</v>
      </c>
      <c r="J463">
        <v>39000</v>
      </c>
      <c r="K463" t="s">
        <v>54</v>
      </c>
      <c r="L463" t="s">
        <v>32</v>
      </c>
      <c r="M463" t="b">
        <v>1</v>
      </c>
      <c r="N463" t="s">
        <v>33</v>
      </c>
    </row>
    <row r="464" spans="1:14" x14ac:dyDescent="0.35">
      <c r="A464" t="s">
        <v>688</v>
      </c>
      <c r="B464" t="s">
        <v>255</v>
      </c>
      <c r="C464" t="s">
        <v>58</v>
      </c>
      <c r="D464" t="s">
        <v>59</v>
      </c>
      <c r="E464" t="s">
        <v>36</v>
      </c>
      <c r="F464" t="s">
        <v>37</v>
      </c>
      <c r="G464" t="s">
        <v>20</v>
      </c>
      <c r="H464">
        <v>1</v>
      </c>
      <c r="I464">
        <v>42100</v>
      </c>
      <c r="J464">
        <v>42100</v>
      </c>
      <c r="K464" t="s">
        <v>70</v>
      </c>
      <c r="L464" t="s">
        <v>22</v>
      </c>
      <c r="M464" t="b">
        <v>0</v>
      </c>
      <c r="N464" t="s">
        <v>33</v>
      </c>
    </row>
    <row r="465" spans="1:14" x14ac:dyDescent="0.35">
      <c r="A465" t="s">
        <v>689</v>
      </c>
      <c r="B465" t="s">
        <v>690</v>
      </c>
      <c r="C465" t="s">
        <v>16</v>
      </c>
      <c r="D465" t="s">
        <v>17</v>
      </c>
      <c r="E465" t="s">
        <v>28</v>
      </c>
      <c r="F465" t="s">
        <v>29</v>
      </c>
      <c r="G465" t="s">
        <v>30</v>
      </c>
      <c r="H465">
        <v>1</v>
      </c>
      <c r="I465">
        <v>108100</v>
      </c>
      <c r="J465">
        <v>108100</v>
      </c>
      <c r="K465" t="s">
        <v>54</v>
      </c>
      <c r="L465" t="s">
        <v>32</v>
      </c>
      <c r="M465" t="b">
        <v>1</v>
      </c>
      <c r="N465" t="s">
        <v>33</v>
      </c>
    </row>
    <row r="466" spans="1:14" x14ac:dyDescent="0.35">
      <c r="A466" t="s">
        <v>691</v>
      </c>
      <c r="B466" t="s">
        <v>692</v>
      </c>
      <c r="C466" t="s">
        <v>16</v>
      </c>
      <c r="D466" t="s">
        <v>17</v>
      </c>
      <c r="E466" t="s">
        <v>74</v>
      </c>
      <c r="F466" t="s">
        <v>75</v>
      </c>
      <c r="G466" t="s">
        <v>30</v>
      </c>
      <c r="H466">
        <v>1</v>
      </c>
      <c r="I466">
        <v>4500</v>
      </c>
      <c r="J466">
        <v>4500</v>
      </c>
      <c r="K466" t="s">
        <v>21</v>
      </c>
      <c r="L466" t="s">
        <v>109</v>
      </c>
      <c r="M466" t="b">
        <v>1</v>
      </c>
      <c r="N466" t="s">
        <v>23</v>
      </c>
    </row>
    <row r="467" spans="1:14" x14ac:dyDescent="0.35">
      <c r="A467" t="s">
        <v>693</v>
      </c>
      <c r="B467" t="s">
        <v>694</v>
      </c>
      <c r="C467" t="s">
        <v>16</v>
      </c>
      <c r="D467" t="s">
        <v>17</v>
      </c>
      <c r="E467" t="s">
        <v>18</v>
      </c>
      <c r="F467" t="s">
        <v>19</v>
      </c>
      <c r="G467" t="s">
        <v>30</v>
      </c>
      <c r="H467">
        <v>2</v>
      </c>
      <c r="I467">
        <v>20900</v>
      </c>
      <c r="J467">
        <v>41800</v>
      </c>
      <c r="K467" t="s">
        <v>54</v>
      </c>
      <c r="L467" t="s">
        <v>39</v>
      </c>
      <c r="M467" t="b">
        <v>0</v>
      </c>
      <c r="N467" t="s">
        <v>23</v>
      </c>
    </row>
    <row r="468" spans="1:14" x14ac:dyDescent="0.35">
      <c r="A468" t="s">
        <v>695</v>
      </c>
      <c r="B468" t="s">
        <v>531</v>
      </c>
      <c r="C468" t="s">
        <v>42</v>
      </c>
      <c r="D468" t="s">
        <v>43</v>
      </c>
      <c r="E468" t="s">
        <v>120</v>
      </c>
      <c r="F468" t="s">
        <v>45</v>
      </c>
      <c r="G468" t="s">
        <v>30</v>
      </c>
      <c r="H468">
        <v>1</v>
      </c>
      <c r="I468">
        <v>58100</v>
      </c>
      <c r="J468">
        <v>58100</v>
      </c>
      <c r="K468" t="s">
        <v>38</v>
      </c>
      <c r="L468" t="s">
        <v>22</v>
      </c>
      <c r="M468" t="b">
        <v>0</v>
      </c>
      <c r="N468" t="s">
        <v>33</v>
      </c>
    </row>
    <row r="469" spans="1:14" x14ac:dyDescent="0.35">
      <c r="A469" t="s">
        <v>696</v>
      </c>
      <c r="B469" t="s">
        <v>697</v>
      </c>
      <c r="C469" t="s">
        <v>50</v>
      </c>
      <c r="D469" t="s">
        <v>51</v>
      </c>
      <c r="E469" t="s">
        <v>120</v>
      </c>
      <c r="F469" t="s">
        <v>45</v>
      </c>
      <c r="G469" t="s">
        <v>20</v>
      </c>
      <c r="H469">
        <v>1</v>
      </c>
      <c r="I469">
        <v>53100</v>
      </c>
      <c r="J469">
        <v>53100</v>
      </c>
      <c r="K469" t="s">
        <v>70</v>
      </c>
      <c r="L469" t="s">
        <v>55</v>
      </c>
      <c r="M469" t="b">
        <v>0</v>
      </c>
      <c r="N469" t="s">
        <v>33</v>
      </c>
    </row>
    <row r="470" spans="1:14" x14ac:dyDescent="0.35">
      <c r="A470" t="s">
        <v>698</v>
      </c>
      <c r="B470" t="s">
        <v>262</v>
      </c>
      <c r="C470" t="s">
        <v>73</v>
      </c>
      <c r="D470" t="s">
        <v>43</v>
      </c>
      <c r="E470" t="s">
        <v>44</v>
      </c>
      <c r="F470" t="s">
        <v>45</v>
      </c>
      <c r="G470" t="s">
        <v>20</v>
      </c>
      <c r="H470">
        <v>2</v>
      </c>
      <c r="I470">
        <v>27300</v>
      </c>
      <c r="J470">
        <v>54600</v>
      </c>
      <c r="K470" t="s">
        <v>46</v>
      </c>
      <c r="L470" t="s">
        <v>39</v>
      </c>
      <c r="M470" t="b">
        <v>0</v>
      </c>
      <c r="N470" t="s">
        <v>23</v>
      </c>
    </row>
    <row r="471" spans="1:14" x14ac:dyDescent="0.35">
      <c r="A471" t="s">
        <v>699</v>
      </c>
      <c r="B471" t="s">
        <v>226</v>
      </c>
      <c r="C471" t="s">
        <v>73</v>
      </c>
      <c r="D471" t="s">
        <v>43</v>
      </c>
      <c r="E471" t="s">
        <v>60</v>
      </c>
      <c r="F471" t="s">
        <v>53</v>
      </c>
      <c r="G471" t="s">
        <v>30</v>
      </c>
      <c r="H471">
        <v>1</v>
      </c>
      <c r="I471">
        <v>6800</v>
      </c>
      <c r="J471">
        <v>6800</v>
      </c>
      <c r="K471" t="s">
        <v>70</v>
      </c>
      <c r="L471" t="s">
        <v>47</v>
      </c>
      <c r="M471" t="b">
        <v>0</v>
      </c>
      <c r="N471" t="s">
        <v>23</v>
      </c>
    </row>
    <row r="472" spans="1:14" x14ac:dyDescent="0.35">
      <c r="A472" t="s">
        <v>700</v>
      </c>
      <c r="B472" t="s">
        <v>701</v>
      </c>
      <c r="C472" t="s">
        <v>16</v>
      </c>
      <c r="D472" t="s">
        <v>17</v>
      </c>
      <c r="E472" t="s">
        <v>120</v>
      </c>
      <c r="F472" t="s">
        <v>45</v>
      </c>
      <c r="G472" t="s">
        <v>30</v>
      </c>
      <c r="H472">
        <v>1</v>
      </c>
      <c r="I472">
        <v>52700</v>
      </c>
      <c r="J472">
        <v>52700</v>
      </c>
      <c r="K472" t="s">
        <v>38</v>
      </c>
      <c r="L472" t="s">
        <v>47</v>
      </c>
      <c r="M472" t="b">
        <v>0</v>
      </c>
      <c r="N472" t="s">
        <v>33</v>
      </c>
    </row>
    <row r="473" spans="1:14" x14ac:dyDescent="0.35">
      <c r="A473" t="s">
        <v>702</v>
      </c>
      <c r="B473" t="s">
        <v>239</v>
      </c>
      <c r="C473" t="s">
        <v>65</v>
      </c>
      <c r="D473" t="s">
        <v>27</v>
      </c>
      <c r="E473" t="s">
        <v>52</v>
      </c>
      <c r="F473" t="s">
        <v>53</v>
      </c>
      <c r="G473" t="s">
        <v>30</v>
      </c>
      <c r="H473">
        <v>1</v>
      </c>
      <c r="I473">
        <v>8800</v>
      </c>
      <c r="J473">
        <v>8800</v>
      </c>
      <c r="K473" t="s">
        <v>21</v>
      </c>
      <c r="L473" t="s">
        <v>22</v>
      </c>
      <c r="M473" t="b">
        <v>0</v>
      </c>
      <c r="N473" t="s">
        <v>23</v>
      </c>
    </row>
    <row r="474" spans="1:14" x14ac:dyDescent="0.35">
      <c r="A474" t="s">
        <v>703</v>
      </c>
      <c r="B474" t="s">
        <v>87</v>
      </c>
      <c r="C474" t="s">
        <v>16</v>
      </c>
      <c r="D474" t="s">
        <v>17</v>
      </c>
      <c r="E474" t="s">
        <v>60</v>
      </c>
      <c r="F474" t="s">
        <v>53</v>
      </c>
      <c r="G474" t="s">
        <v>30</v>
      </c>
      <c r="H474">
        <v>2</v>
      </c>
      <c r="I474">
        <v>6900</v>
      </c>
      <c r="J474">
        <v>13800</v>
      </c>
      <c r="K474" t="s">
        <v>70</v>
      </c>
      <c r="L474" t="s">
        <v>88</v>
      </c>
      <c r="M474" t="b">
        <v>0</v>
      </c>
      <c r="N474" t="s">
        <v>23</v>
      </c>
    </row>
    <row r="475" spans="1:14" x14ac:dyDescent="0.35">
      <c r="A475" t="s">
        <v>704</v>
      </c>
      <c r="B475" t="s">
        <v>77</v>
      </c>
      <c r="C475" t="s">
        <v>50</v>
      </c>
      <c r="D475" t="s">
        <v>51</v>
      </c>
      <c r="E475" t="s">
        <v>97</v>
      </c>
      <c r="F475" t="s">
        <v>29</v>
      </c>
      <c r="G475" t="s">
        <v>20</v>
      </c>
      <c r="H475">
        <v>3</v>
      </c>
      <c r="I475">
        <v>31700</v>
      </c>
      <c r="J475">
        <v>95100</v>
      </c>
      <c r="K475" t="s">
        <v>46</v>
      </c>
      <c r="L475" t="s">
        <v>32</v>
      </c>
      <c r="M475" t="b">
        <v>1</v>
      </c>
      <c r="N475" t="s">
        <v>33</v>
      </c>
    </row>
    <row r="476" spans="1:14" x14ac:dyDescent="0.35">
      <c r="A476" t="s">
        <v>705</v>
      </c>
      <c r="B476" t="s">
        <v>307</v>
      </c>
      <c r="C476" t="s">
        <v>58</v>
      </c>
      <c r="D476" t="s">
        <v>59</v>
      </c>
      <c r="E476" t="s">
        <v>80</v>
      </c>
      <c r="F476" t="s">
        <v>81</v>
      </c>
      <c r="G476" t="s">
        <v>30</v>
      </c>
      <c r="H476">
        <v>1</v>
      </c>
      <c r="I476">
        <v>12100</v>
      </c>
      <c r="J476">
        <v>12100</v>
      </c>
      <c r="K476" t="s">
        <v>31</v>
      </c>
      <c r="L476" t="s">
        <v>88</v>
      </c>
      <c r="M476" t="b">
        <v>0</v>
      </c>
      <c r="N476" t="s">
        <v>23</v>
      </c>
    </row>
    <row r="477" spans="1:14" x14ac:dyDescent="0.35">
      <c r="A477" t="s">
        <v>706</v>
      </c>
      <c r="B477" t="s">
        <v>159</v>
      </c>
      <c r="C477" t="s">
        <v>67</v>
      </c>
      <c r="D477" t="s">
        <v>59</v>
      </c>
      <c r="E477" t="s">
        <v>80</v>
      </c>
      <c r="F477" t="s">
        <v>81</v>
      </c>
      <c r="G477" t="s">
        <v>30</v>
      </c>
      <c r="H477">
        <v>1</v>
      </c>
      <c r="I477">
        <v>11300</v>
      </c>
      <c r="J477">
        <v>11300</v>
      </c>
      <c r="K477" t="s">
        <v>38</v>
      </c>
      <c r="L477" t="s">
        <v>32</v>
      </c>
      <c r="M477" t="b">
        <v>1</v>
      </c>
      <c r="N477" t="s">
        <v>23</v>
      </c>
    </row>
    <row r="478" spans="1:14" x14ac:dyDescent="0.35">
      <c r="A478" t="s">
        <v>707</v>
      </c>
      <c r="B478" t="s">
        <v>165</v>
      </c>
      <c r="C478" t="s">
        <v>58</v>
      </c>
      <c r="D478" t="s">
        <v>59</v>
      </c>
      <c r="E478" t="s">
        <v>80</v>
      </c>
      <c r="F478" t="s">
        <v>81</v>
      </c>
      <c r="G478" t="s">
        <v>30</v>
      </c>
      <c r="H478">
        <v>1</v>
      </c>
      <c r="I478">
        <v>11500</v>
      </c>
      <c r="J478">
        <v>11500</v>
      </c>
      <c r="K478" t="s">
        <v>21</v>
      </c>
      <c r="L478" t="s">
        <v>39</v>
      </c>
      <c r="M478" t="b">
        <v>0</v>
      </c>
      <c r="N478" t="s">
        <v>23</v>
      </c>
    </row>
    <row r="479" spans="1:14" x14ac:dyDescent="0.35">
      <c r="A479" t="s">
        <v>708</v>
      </c>
      <c r="B479" t="s">
        <v>543</v>
      </c>
      <c r="C479" t="s">
        <v>73</v>
      </c>
      <c r="D479" t="s">
        <v>43</v>
      </c>
      <c r="E479" t="s">
        <v>52</v>
      </c>
      <c r="F479" t="s">
        <v>53</v>
      </c>
      <c r="G479" t="s">
        <v>20</v>
      </c>
      <c r="H479">
        <v>1</v>
      </c>
      <c r="I479">
        <v>8200</v>
      </c>
      <c r="J479">
        <v>8200</v>
      </c>
      <c r="K479" t="s">
        <v>31</v>
      </c>
      <c r="L479" t="s">
        <v>88</v>
      </c>
      <c r="M479" t="b">
        <v>0</v>
      </c>
      <c r="N479" t="s">
        <v>23</v>
      </c>
    </row>
    <row r="480" spans="1:14" x14ac:dyDescent="0.35">
      <c r="A480" t="s">
        <v>709</v>
      </c>
      <c r="B480" t="s">
        <v>186</v>
      </c>
      <c r="C480" t="s">
        <v>16</v>
      </c>
      <c r="D480" t="s">
        <v>17</v>
      </c>
      <c r="E480" t="s">
        <v>52</v>
      </c>
      <c r="F480" t="s">
        <v>53</v>
      </c>
      <c r="G480" t="s">
        <v>20</v>
      </c>
      <c r="H480">
        <v>1</v>
      </c>
      <c r="I480">
        <v>8600</v>
      </c>
      <c r="J480">
        <v>8600</v>
      </c>
      <c r="K480" t="s">
        <v>38</v>
      </c>
      <c r="L480" t="s">
        <v>109</v>
      </c>
      <c r="M480" t="b">
        <v>1</v>
      </c>
      <c r="N480" t="s">
        <v>23</v>
      </c>
    </row>
    <row r="481" spans="1:14" x14ac:dyDescent="0.35">
      <c r="A481" t="s">
        <v>710</v>
      </c>
      <c r="B481" t="s">
        <v>41</v>
      </c>
      <c r="C481" t="s">
        <v>16</v>
      </c>
      <c r="D481" t="s">
        <v>17</v>
      </c>
      <c r="E481" t="s">
        <v>60</v>
      </c>
      <c r="F481" t="s">
        <v>53</v>
      </c>
      <c r="G481" t="s">
        <v>30</v>
      </c>
      <c r="H481">
        <v>3</v>
      </c>
      <c r="I481">
        <v>6300</v>
      </c>
      <c r="J481">
        <v>18900</v>
      </c>
      <c r="K481" t="s">
        <v>46</v>
      </c>
      <c r="L481" t="s">
        <v>47</v>
      </c>
      <c r="M481" t="b">
        <v>0</v>
      </c>
      <c r="N481" t="s">
        <v>23</v>
      </c>
    </row>
    <row r="482" spans="1:14" x14ac:dyDescent="0.35">
      <c r="A482" t="s">
        <v>711</v>
      </c>
      <c r="B482" t="s">
        <v>229</v>
      </c>
      <c r="C482" t="s">
        <v>73</v>
      </c>
      <c r="D482" t="s">
        <v>43</v>
      </c>
      <c r="E482" t="s">
        <v>44</v>
      </c>
      <c r="F482" t="s">
        <v>45</v>
      </c>
      <c r="G482" t="s">
        <v>30</v>
      </c>
      <c r="H482">
        <v>3</v>
      </c>
      <c r="I482">
        <v>26100</v>
      </c>
      <c r="J482">
        <v>78300</v>
      </c>
      <c r="K482" t="s">
        <v>70</v>
      </c>
      <c r="L482" t="s">
        <v>55</v>
      </c>
      <c r="M482" t="b">
        <v>0</v>
      </c>
      <c r="N482" t="s">
        <v>23</v>
      </c>
    </row>
    <row r="483" spans="1:14" x14ac:dyDescent="0.35">
      <c r="A483" t="s">
        <v>712</v>
      </c>
      <c r="B483" t="s">
        <v>398</v>
      </c>
      <c r="C483" t="s">
        <v>65</v>
      </c>
      <c r="D483" t="s">
        <v>27</v>
      </c>
      <c r="E483" t="s">
        <v>74</v>
      </c>
      <c r="F483" t="s">
        <v>75</v>
      </c>
      <c r="G483" t="s">
        <v>20</v>
      </c>
      <c r="H483">
        <v>5</v>
      </c>
      <c r="I483">
        <v>4500</v>
      </c>
      <c r="J483">
        <v>22500</v>
      </c>
      <c r="K483" t="s">
        <v>38</v>
      </c>
      <c r="L483" t="s">
        <v>47</v>
      </c>
      <c r="M483" t="b">
        <v>0</v>
      </c>
      <c r="N483" t="s">
        <v>23</v>
      </c>
    </row>
    <row r="484" spans="1:14" x14ac:dyDescent="0.35">
      <c r="A484" t="s">
        <v>713</v>
      </c>
      <c r="B484" t="s">
        <v>714</v>
      </c>
      <c r="C484" t="s">
        <v>16</v>
      </c>
      <c r="D484" t="s">
        <v>17</v>
      </c>
      <c r="E484" t="s">
        <v>36</v>
      </c>
      <c r="F484" t="s">
        <v>37</v>
      </c>
      <c r="G484" t="s">
        <v>30</v>
      </c>
      <c r="H484">
        <v>1</v>
      </c>
      <c r="I484">
        <v>43900</v>
      </c>
      <c r="J484">
        <v>43900</v>
      </c>
      <c r="K484" t="s">
        <v>46</v>
      </c>
      <c r="L484" t="s">
        <v>55</v>
      </c>
      <c r="M484" t="b">
        <v>0</v>
      </c>
      <c r="N484" t="s">
        <v>33</v>
      </c>
    </row>
    <row r="485" spans="1:14" x14ac:dyDescent="0.35">
      <c r="A485" t="s">
        <v>715</v>
      </c>
      <c r="B485" t="s">
        <v>360</v>
      </c>
      <c r="C485" t="s">
        <v>67</v>
      </c>
      <c r="D485" t="s">
        <v>59</v>
      </c>
      <c r="E485" t="s">
        <v>102</v>
      </c>
      <c r="F485" t="s">
        <v>29</v>
      </c>
      <c r="G485" t="s">
        <v>30</v>
      </c>
      <c r="H485">
        <v>3</v>
      </c>
      <c r="I485">
        <v>28600</v>
      </c>
      <c r="J485">
        <v>85800</v>
      </c>
      <c r="K485" t="s">
        <v>21</v>
      </c>
      <c r="L485" t="s">
        <v>88</v>
      </c>
      <c r="M485" t="b">
        <v>0</v>
      </c>
      <c r="N485" t="s">
        <v>33</v>
      </c>
    </row>
    <row r="486" spans="1:14" x14ac:dyDescent="0.35">
      <c r="A486" t="s">
        <v>716</v>
      </c>
      <c r="B486" t="s">
        <v>550</v>
      </c>
      <c r="C486" t="s">
        <v>73</v>
      </c>
      <c r="D486" t="s">
        <v>43</v>
      </c>
      <c r="E486" t="s">
        <v>18</v>
      </c>
      <c r="F486" t="s">
        <v>19</v>
      </c>
      <c r="G486" t="s">
        <v>30</v>
      </c>
      <c r="H486">
        <v>2</v>
      </c>
      <c r="I486">
        <v>22900</v>
      </c>
      <c r="J486">
        <v>45800</v>
      </c>
      <c r="K486" t="s">
        <v>46</v>
      </c>
      <c r="L486" t="s">
        <v>32</v>
      </c>
      <c r="M486" t="b">
        <v>1</v>
      </c>
      <c r="N486" t="s">
        <v>23</v>
      </c>
    </row>
    <row r="487" spans="1:14" x14ac:dyDescent="0.35">
      <c r="A487" t="s">
        <v>717</v>
      </c>
      <c r="B487" t="s">
        <v>205</v>
      </c>
      <c r="C487" t="s">
        <v>67</v>
      </c>
      <c r="D487" t="s">
        <v>59</v>
      </c>
      <c r="E487" t="s">
        <v>102</v>
      </c>
      <c r="F487" t="s">
        <v>29</v>
      </c>
      <c r="G487" t="s">
        <v>30</v>
      </c>
      <c r="H487">
        <v>5</v>
      </c>
      <c r="I487">
        <v>29400</v>
      </c>
      <c r="J487">
        <v>147000</v>
      </c>
      <c r="K487" t="s">
        <v>38</v>
      </c>
      <c r="L487" t="s">
        <v>22</v>
      </c>
      <c r="M487" t="b">
        <v>0</v>
      </c>
      <c r="N487" t="s">
        <v>33</v>
      </c>
    </row>
    <row r="488" spans="1:14" x14ac:dyDescent="0.35">
      <c r="A488" t="s">
        <v>718</v>
      </c>
      <c r="B488" t="s">
        <v>190</v>
      </c>
      <c r="C488" t="s">
        <v>58</v>
      </c>
      <c r="D488" t="s">
        <v>59</v>
      </c>
      <c r="E488" t="s">
        <v>97</v>
      </c>
      <c r="F488" t="s">
        <v>29</v>
      </c>
      <c r="G488" t="s">
        <v>30</v>
      </c>
      <c r="H488">
        <v>1</v>
      </c>
      <c r="I488">
        <v>30400</v>
      </c>
      <c r="J488">
        <v>30400</v>
      </c>
      <c r="K488" t="s">
        <v>70</v>
      </c>
      <c r="L488" t="s">
        <v>22</v>
      </c>
      <c r="M488" t="b">
        <v>0</v>
      </c>
      <c r="N488" t="s">
        <v>33</v>
      </c>
    </row>
    <row r="489" spans="1:14" x14ac:dyDescent="0.35">
      <c r="A489" t="s">
        <v>719</v>
      </c>
      <c r="B489" t="s">
        <v>220</v>
      </c>
      <c r="C489" t="s">
        <v>26</v>
      </c>
      <c r="D489" t="s">
        <v>27</v>
      </c>
      <c r="E489" t="s">
        <v>60</v>
      </c>
      <c r="F489" t="s">
        <v>53</v>
      </c>
      <c r="G489" t="s">
        <v>20</v>
      </c>
      <c r="H489">
        <v>1</v>
      </c>
      <c r="I489">
        <v>6700</v>
      </c>
      <c r="J489">
        <v>6700</v>
      </c>
      <c r="K489" t="s">
        <v>70</v>
      </c>
      <c r="L489" t="s">
        <v>109</v>
      </c>
      <c r="M489" t="b">
        <v>1</v>
      </c>
      <c r="N489" t="s">
        <v>23</v>
      </c>
    </row>
    <row r="490" spans="1:14" x14ac:dyDescent="0.35">
      <c r="A490" t="s">
        <v>720</v>
      </c>
      <c r="B490" t="s">
        <v>49</v>
      </c>
      <c r="C490" t="s">
        <v>67</v>
      </c>
      <c r="D490" t="s">
        <v>59</v>
      </c>
      <c r="E490" t="s">
        <v>120</v>
      </c>
      <c r="F490" t="s">
        <v>45</v>
      </c>
      <c r="G490" t="s">
        <v>30</v>
      </c>
      <c r="H490">
        <v>1</v>
      </c>
      <c r="I490">
        <v>51800</v>
      </c>
      <c r="J490">
        <v>51800</v>
      </c>
      <c r="K490" t="s">
        <v>54</v>
      </c>
      <c r="L490" t="s">
        <v>55</v>
      </c>
      <c r="M490" t="b">
        <v>0</v>
      </c>
      <c r="N490" t="s">
        <v>33</v>
      </c>
    </row>
    <row r="491" spans="1:14" x14ac:dyDescent="0.35">
      <c r="A491" t="s">
        <v>721</v>
      </c>
      <c r="B491" t="s">
        <v>548</v>
      </c>
      <c r="C491" t="s">
        <v>58</v>
      </c>
      <c r="D491" t="s">
        <v>59</v>
      </c>
      <c r="E491" t="s">
        <v>94</v>
      </c>
      <c r="F491" t="s">
        <v>37</v>
      </c>
      <c r="G491" t="s">
        <v>30</v>
      </c>
      <c r="H491">
        <v>2</v>
      </c>
      <c r="I491">
        <v>19900</v>
      </c>
      <c r="J491">
        <v>39800</v>
      </c>
      <c r="K491" t="s">
        <v>54</v>
      </c>
      <c r="L491" t="s">
        <v>55</v>
      </c>
      <c r="M491" t="b">
        <v>0</v>
      </c>
      <c r="N491" t="s">
        <v>23</v>
      </c>
    </row>
    <row r="492" spans="1:14" x14ac:dyDescent="0.35">
      <c r="A492" t="s">
        <v>722</v>
      </c>
      <c r="B492" t="s">
        <v>690</v>
      </c>
      <c r="C492" t="s">
        <v>26</v>
      </c>
      <c r="D492" t="s">
        <v>27</v>
      </c>
      <c r="E492" t="s">
        <v>52</v>
      </c>
      <c r="F492" t="s">
        <v>53</v>
      </c>
      <c r="G492" t="s">
        <v>30</v>
      </c>
      <c r="H492">
        <v>1</v>
      </c>
      <c r="I492">
        <v>9100</v>
      </c>
      <c r="J492">
        <v>9100</v>
      </c>
      <c r="K492" t="s">
        <v>54</v>
      </c>
      <c r="L492" t="s">
        <v>32</v>
      </c>
      <c r="M492" t="b">
        <v>1</v>
      </c>
      <c r="N492" t="s">
        <v>23</v>
      </c>
    </row>
    <row r="493" spans="1:14" x14ac:dyDescent="0.35">
      <c r="A493" t="s">
        <v>723</v>
      </c>
      <c r="B493" t="s">
        <v>312</v>
      </c>
      <c r="C493" t="s">
        <v>73</v>
      </c>
      <c r="D493" t="s">
        <v>43</v>
      </c>
      <c r="E493" t="s">
        <v>36</v>
      </c>
      <c r="F493" t="s">
        <v>37</v>
      </c>
      <c r="G493" t="s">
        <v>30</v>
      </c>
      <c r="H493">
        <v>1</v>
      </c>
      <c r="I493">
        <v>39600</v>
      </c>
      <c r="J493">
        <v>39600</v>
      </c>
      <c r="K493" t="s">
        <v>54</v>
      </c>
      <c r="L493" t="s">
        <v>32</v>
      </c>
      <c r="M493" t="b">
        <v>1</v>
      </c>
      <c r="N493" t="s">
        <v>33</v>
      </c>
    </row>
    <row r="494" spans="1:14" x14ac:dyDescent="0.35">
      <c r="A494" t="s">
        <v>724</v>
      </c>
      <c r="B494" t="s">
        <v>725</v>
      </c>
      <c r="C494" t="s">
        <v>42</v>
      </c>
      <c r="D494" t="s">
        <v>43</v>
      </c>
      <c r="E494" t="s">
        <v>94</v>
      </c>
      <c r="F494" t="s">
        <v>37</v>
      </c>
      <c r="G494" t="s">
        <v>30</v>
      </c>
      <c r="H494">
        <v>2</v>
      </c>
      <c r="I494">
        <v>19500</v>
      </c>
      <c r="J494">
        <v>39000</v>
      </c>
      <c r="K494" t="s">
        <v>46</v>
      </c>
      <c r="L494" t="s">
        <v>109</v>
      </c>
      <c r="M494" t="b">
        <v>1</v>
      </c>
      <c r="N494" t="s">
        <v>23</v>
      </c>
    </row>
    <row r="495" spans="1:14" x14ac:dyDescent="0.35">
      <c r="A495" t="s">
        <v>726</v>
      </c>
      <c r="B495" t="s">
        <v>287</v>
      </c>
      <c r="C495" t="s">
        <v>26</v>
      </c>
      <c r="D495" t="s">
        <v>27</v>
      </c>
      <c r="E495" t="s">
        <v>60</v>
      </c>
      <c r="F495" t="s">
        <v>53</v>
      </c>
      <c r="G495" t="s">
        <v>30</v>
      </c>
      <c r="H495">
        <v>1</v>
      </c>
      <c r="I495">
        <v>7000</v>
      </c>
      <c r="J495">
        <v>7000</v>
      </c>
      <c r="K495" t="s">
        <v>38</v>
      </c>
      <c r="L495" t="s">
        <v>32</v>
      </c>
      <c r="M495" t="b">
        <v>1</v>
      </c>
      <c r="N495" t="s">
        <v>23</v>
      </c>
    </row>
    <row r="496" spans="1:14" x14ac:dyDescent="0.35">
      <c r="A496" t="s">
        <v>727</v>
      </c>
      <c r="B496" t="s">
        <v>167</v>
      </c>
      <c r="C496" t="s">
        <v>16</v>
      </c>
      <c r="D496" t="s">
        <v>17</v>
      </c>
      <c r="E496" t="s">
        <v>97</v>
      </c>
      <c r="F496" t="s">
        <v>29</v>
      </c>
      <c r="G496" t="s">
        <v>30</v>
      </c>
      <c r="H496">
        <v>3</v>
      </c>
      <c r="I496">
        <v>31600</v>
      </c>
      <c r="J496">
        <v>94800</v>
      </c>
      <c r="K496" t="s">
        <v>31</v>
      </c>
      <c r="L496" t="s">
        <v>109</v>
      </c>
      <c r="M496" t="b">
        <v>1</v>
      </c>
      <c r="N496" t="s">
        <v>33</v>
      </c>
    </row>
    <row r="497" spans="1:14" x14ac:dyDescent="0.35">
      <c r="A497" t="s">
        <v>728</v>
      </c>
      <c r="B497" t="s">
        <v>340</v>
      </c>
      <c r="C497" t="s">
        <v>65</v>
      </c>
      <c r="D497" t="s">
        <v>27</v>
      </c>
      <c r="E497" t="s">
        <v>36</v>
      </c>
      <c r="F497" t="s">
        <v>37</v>
      </c>
      <c r="G497" t="s">
        <v>20</v>
      </c>
      <c r="H497">
        <v>1</v>
      </c>
      <c r="I497">
        <v>39000</v>
      </c>
      <c r="J497">
        <v>39000</v>
      </c>
      <c r="K497" t="s">
        <v>70</v>
      </c>
      <c r="L497" t="s">
        <v>55</v>
      </c>
      <c r="M497" t="b">
        <v>0</v>
      </c>
      <c r="N497" t="s">
        <v>33</v>
      </c>
    </row>
    <row r="498" spans="1:14" x14ac:dyDescent="0.35">
      <c r="A498" t="s">
        <v>729</v>
      </c>
      <c r="B498" t="s">
        <v>64</v>
      </c>
      <c r="C498" t="s">
        <v>73</v>
      </c>
      <c r="D498" t="s">
        <v>43</v>
      </c>
      <c r="E498" t="s">
        <v>18</v>
      </c>
      <c r="F498" t="s">
        <v>19</v>
      </c>
      <c r="G498" t="s">
        <v>30</v>
      </c>
      <c r="H498">
        <v>1</v>
      </c>
      <c r="I498">
        <v>20800</v>
      </c>
      <c r="J498">
        <v>20800</v>
      </c>
      <c r="K498" t="s">
        <v>46</v>
      </c>
      <c r="L498" t="s">
        <v>47</v>
      </c>
      <c r="M498" t="b">
        <v>0</v>
      </c>
      <c r="N498" t="s">
        <v>23</v>
      </c>
    </row>
    <row r="499" spans="1:14" x14ac:dyDescent="0.35">
      <c r="A499" t="s">
        <v>730</v>
      </c>
      <c r="B499" t="s">
        <v>312</v>
      </c>
      <c r="C499" t="s">
        <v>26</v>
      </c>
      <c r="D499" t="s">
        <v>27</v>
      </c>
      <c r="E499" t="s">
        <v>94</v>
      </c>
      <c r="F499" t="s">
        <v>37</v>
      </c>
      <c r="G499" t="s">
        <v>20</v>
      </c>
      <c r="H499">
        <v>2</v>
      </c>
      <c r="I499">
        <v>18300</v>
      </c>
      <c r="J499">
        <v>36600</v>
      </c>
      <c r="K499" t="s">
        <v>54</v>
      </c>
      <c r="L499" t="s">
        <v>32</v>
      </c>
      <c r="M499" t="b">
        <v>1</v>
      </c>
      <c r="N499" t="s">
        <v>23</v>
      </c>
    </row>
    <row r="500" spans="1:14" x14ac:dyDescent="0.35">
      <c r="A500" t="s">
        <v>731</v>
      </c>
      <c r="B500" t="s">
        <v>239</v>
      </c>
      <c r="C500" t="s">
        <v>58</v>
      </c>
      <c r="D500" t="s">
        <v>59</v>
      </c>
      <c r="E500" t="s">
        <v>28</v>
      </c>
      <c r="F500" t="s">
        <v>29</v>
      </c>
      <c r="G500" t="s">
        <v>30</v>
      </c>
      <c r="H500">
        <v>2</v>
      </c>
      <c r="I500">
        <v>112300</v>
      </c>
      <c r="J500">
        <v>224600</v>
      </c>
      <c r="K500" t="s">
        <v>21</v>
      </c>
      <c r="L500" t="s">
        <v>22</v>
      </c>
      <c r="M500" t="b">
        <v>0</v>
      </c>
      <c r="N500" t="s">
        <v>33</v>
      </c>
    </row>
    <row r="501" spans="1:14" x14ac:dyDescent="0.35">
      <c r="A501" t="s">
        <v>732</v>
      </c>
      <c r="B501" t="s">
        <v>354</v>
      </c>
      <c r="C501" t="s">
        <v>50</v>
      </c>
      <c r="D501" t="s">
        <v>51</v>
      </c>
      <c r="E501" t="s">
        <v>28</v>
      </c>
      <c r="F501" t="s">
        <v>29</v>
      </c>
      <c r="G501" t="s">
        <v>30</v>
      </c>
      <c r="H501">
        <v>1</v>
      </c>
      <c r="I501">
        <v>115500</v>
      </c>
      <c r="J501">
        <v>115500</v>
      </c>
      <c r="K501" t="s">
        <v>31</v>
      </c>
      <c r="L501" t="s">
        <v>109</v>
      </c>
      <c r="M501" t="b">
        <v>1</v>
      </c>
      <c r="N501" t="s">
        <v>33</v>
      </c>
    </row>
    <row r="502" spans="1:14" x14ac:dyDescent="0.35">
      <c r="A502" t="s">
        <v>733</v>
      </c>
      <c r="B502" t="s">
        <v>456</v>
      </c>
      <c r="C502" t="s">
        <v>50</v>
      </c>
      <c r="D502" t="s">
        <v>51</v>
      </c>
      <c r="E502" t="s">
        <v>120</v>
      </c>
      <c r="F502" t="s">
        <v>45</v>
      </c>
      <c r="G502" t="s">
        <v>20</v>
      </c>
      <c r="H502">
        <v>1</v>
      </c>
      <c r="I502">
        <v>57200</v>
      </c>
      <c r="J502">
        <v>57200</v>
      </c>
      <c r="K502" t="s">
        <v>31</v>
      </c>
      <c r="L502" t="s">
        <v>47</v>
      </c>
      <c r="M502" t="b">
        <v>0</v>
      </c>
      <c r="N502" t="s">
        <v>33</v>
      </c>
    </row>
    <row r="503" spans="1:14" x14ac:dyDescent="0.35">
      <c r="A503" t="s">
        <v>734</v>
      </c>
      <c r="B503" t="s">
        <v>701</v>
      </c>
      <c r="C503" t="s">
        <v>73</v>
      </c>
      <c r="D503" t="s">
        <v>43</v>
      </c>
      <c r="E503" t="s">
        <v>102</v>
      </c>
      <c r="F503" t="s">
        <v>29</v>
      </c>
      <c r="G503" t="s">
        <v>30</v>
      </c>
      <c r="H503">
        <v>1</v>
      </c>
      <c r="I503">
        <v>28800</v>
      </c>
      <c r="J503">
        <v>28800</v>
      </c>
      <c r="K503" t="s">
        <v>38</v>
      </c>
      <c r="L503" t="s">
        <v>47</v>
      </c>
      <c r="M503" t="b">
        <v>0</v>
      </c>
      <c r="N503" t="s">
        <v>33</v>
      </c>
    </row>
    <row r="504" spans="1:14" x14ac:dyDescent="0.35">
      <c r="A504" t="s">
        <v>735</v>
      </c>
      <c r="B504" t="s">
        <v>489</v>
      </c>
      <c r="C504" t="s">
        <v>42</v>
      </c>
      <c r="D504" t="s">
        <v>43</v>
      </c>
      <c r="E504" t="s">
        <v>36</v>
      </c>
      <c r="F504" t="s">
        <v>37</v>
      </c>
      <c r="G504" t="s">
        <v>30</v>
      </c>
      <c r="H504">
        <v>3</v>
      </c>
      <c r="I504">
        <v>39300</v>
      </c>
      <c r="J504">
        <v>117900</v>
      </c>
      <c r="K504" t="s">
        <v>21</v>
      </c>
      <c r="L504" t="s">
        <v>109</v>
      </c>
      <c r="M504" t="b">
        <v>1</v>
      </c>
      <c r="N504" t="s">
        <v>33</v>
      </c>
    </row>
    <row r="505" spans="1:14" x14ac:dyDescent="0.35">
      <c r="A505" t="s">
        <v>736</v>
      </c>
      <c r="B505" t="s">
        <v>338</v>
      </c>
      <c r="C505" t="s">
        <v>65</v>
      </c>
      <c r="D505" t="s">
        <v>27</v>
      </c>
      <c r="E505" t="s">
        <v>94</v>
      </c>
      <c r="F505" t="s">
        <v>37</v>
      </c>
      <c r="G505" t="s">
        <v>20</v>
      </c>
      <c r="H505">
        <v>1</v>
      </c>
      <c r="I505">
        <v>19500</v>
      </c>
      <c r="J505">
        <v>19500</v>
      </c>
      <c r="K505" t="s">
        <v>70</v>
      </c>
      <c r="L505" t="s">
        <v>39</v>
      </c>
      <c r="M505" t="b">
        <v>0</v>
      </c>
      <c r="N505" t="s">
        <v>23</v>
      </c>
    </row>
    <row r="506" spans="1:14" x14ac:dyDescent="0.35">
      <c r="A506" t="s">
        <v>737</v>
      </c>
      <c r="B506" t="s">
        <v>285</v>
      </c>
      <c r="C506" t="s">
        <v>50</v>
      </c>
      <c r="D506" t="s">
        <v>51</v>
      </c>
      <c r="E506" t="s">
        <v>97</v>
      </c>
      <c r="F506" t="s">
        <v>29</v>
      </c>
      <c r="G506" t="s">
        <v>30</v>
      </c>
      <c r="H506">
        <v>1</v>
      </c>
      <c r="I506">
        <v>32000</v>
      </c>
      <c r="J506">
        <v>32000</v>
      </c>
      <c r="K506" t="s">
        <v>38</v>
      </c>
      <c r="L506" t="s">
        <v>109</v>
      </c>
      <c r="M506" t="b">
        <v>1</v>
      </c>
      <c r="N506" t="s">
        <v>33</v>
      </c>
    </row>
    <row r="507" spans="1:14" x14ac:dyDescent="0.35">
      <c r="A507" t="s">
        <v>738</v>
      </c>
      <c r="B507" t="s">
        <v>260</v>
      </c>
      <c r="C507" t="s">
        <v>73</v>
      </c>
      <c r="D507" t="s">
        <v>43</v>
      </c>
      <c r="E507" t="s">
        <v>94</v>
      </c>
      <c r="F507" t="s">
        <v>37</v>
      </c>
      <c r="G507" t="s">
        <v>30</v>
      </c>
      <c r="H507">
        <v>4</v>
      </c>
      <c r="I507">
        <v>18000</v>
      </c>
      <c r="J507">
        <v>72000</v>
      </c>
      <c r="K507" t="s">
        <v>31</v>
      </c>
      <c r="L507" t="s">
        <v>55</v>
      </c>
      <c r="M507" t="b">
        <v>0</v>
      </c>
      <c r="N507" t="s">
        <v>23</v>
      </c>
    </row>
    <row r="508" spans="1:14" x14ac:dyDescent="0.35">
      <c r="A508" t="s">
        <v>739</v>
      </c>
      <c r="B508" t="s">
        <v>456</v>
      </c>
      <c r="C508" t="s">
        <v>50</v>
      </c>
      <c r="D508" t="s">
        <v>51</v>
      </c>
      <c r="E508" t="s">
        <v>36</v>
      </c>
      <c r="F508" t="s">
        <v>37</v>
      </c>
      <c r="G508" t="s">
        <v>30</v>
      </c>
      <c r="H508">
        <v>1</v>
      </c>
      <c r="I508">
        <v>45300</v>
      </c>
      <c r="J508">
        <v>45300</v>
      </c>
      <c r="K508" t="s">
        <v>31</v>
      </c>
      <c r="L508" t="s">
        <v>47</v>
      </c>
      <c r="M508" t="b">
        <v>0</v>
      </c>
      <c r="N508" t="s">
        <v>33</v>
      </c>
    </row>
    <row r="509" spans="1:14" x14ac:dyDescent="0.35">
      <c r="A509" t="s">
        <v>740</v>
      </c>
      <c r="B509" t="s">
        <v>320</v>
      </c>
      <c r="C509" t="s">
        <v>26</v>
      </c>
      <c r="D509" t="s">
        <v>27</v>
      </c>
      <c r="E509" t="s">
        <v>18</v>
      </c>
      <c r="F509" t="s">
        <v>19</v>
      </c>
      <c r="G509" t="s">
        <v>20</v>
      </c>
      <c r="H509">
        <v>2</v>
      </c>
      <c r="I509">
        <v>22700</v>
      </c>
      <c r="J509">
        <v>45400</v>
      </c>
      <c r="K509" t="s">
        <v>46</v>
      </c>
      <c r="L509" t="s">
        <v>47</v>
      </c>
      <c r="M509" t="b">
        <v>0</v>
      </c>
      <c r="N509" t="s">
        <v>23</v>
      </c>
    </row>
    <row r="510" spans="1:14" x14ac:dyDescent="0.35">
      <c r="A510" t="s">
        <v>741</v>
      </c>
      <c r="B510" t="s">
        <v>548</v>
      </c>
      <c r="C510" t="s">
        <v>65</v>
      </c>
      <c r="D510" t="s">
        <v>27</v>
      </c>
      <c r="E510" t="s">
        <v>28</v>
      </c>
      <c r="F510" t="s">
        <v>29</v>
      </c>
      <c r="G510" t="s">
        <v>20</v>
      </c>
      <c r="H510">
        <v>4</v>
      </c>
      <c r="I510">
        <v>114200</v>
      </c>
      <c r="J510">
        <v>456800</v>
      </c>
      <c r="K510" t="s">
        <v>54</v>
      </c>
      <c r="L510" t="s">
        <v>55</v>
      </c>
      <c r="M510" t="b">
        <v>0</v>
      </c>
      <c r="N510" t="s">
        <v>33</v>
      </c>
    </row>
    <row r="511" spans="1:14" x14ac:dyDescent="0.35">
      <c r="A511" t="s">
        <v>742</v>
      </c>
      <c r="B511" t="s">
        <v>454</v>
      </c>
      <c r="C511" t="s">
        <v>26</v>
      </c>
      <c r="D511" t="s">
        <v>27</v>
      </c>
      <c r="E511" t="s">
        <v>44</v>
      </c>
      <c r="F511" t="s">
        <v>45</v>
      </c>
      <c r="G511" t="s">
        <v>20</v>
      </c>
      <c r="H511">
        <v>1</v>
      </c>
      <c r="I511">
        <v>28100</v>
      </c>
      <c r="J511">
        <v>28100</v>
      </c>
      <c r="K511" t="s">
        <v>70</v>
      </c>
      <c r="L511" t="s">
        <v>47</v>
      </c>
      <c r="M511" t="b">
        <v>0</v>
      </c>
      <c r="N511" t="s">
        <v>33</v>
      </c>
    </row>
    <row r="512" spans="1:14" x14ac:dyDescent="0.35">
      <c r="A512" t="s">
        <v>743</v>
      </c>
      <c r="B512" t="s">
        <v>307</v>
      </c>
      <c r="C512" t="s">
        <v>50</v>
      </c>
      <c r="D512" t="s">
        <v>51</v>
      </c>
      <c r="E512" t="s">
        <v>18</v>
      </c>
      <c r="F512" t="s">
        <v>19</v>
      </c>
      <c r="G512" t="s">
        <v>30</v>
      </c>
      <c r="H512">
        <v>1</v>
      </c>
      <c r="I512">
        <v>21500</v>
      </c>
      <c r="J512">
        <v>21500</v>
      </c>
      <c r="K512" t="s">
        <v>31</v>
      </c>
      <c r="L512" t="s">
        <v>88</v>
      </c>
      <c r="M512" t="b">
        <v>0</v>
      </c>
      <c r="N512" t="s">
        <v>23</v>
      </c>
    </row>
    <row r="513" spans="1:14" x14ac:dyDescent="0.35">
      <c r="A513" t="s">
        <v>744</v>
      </c>
      <c r="B513" t="s">
        <v>362</v>
      </c>
      <c r="C513" t="s">
        <v>73</v>
      </c>
      <c r="D513" t="s">
        <v>43</v>
      </c>
      <c r="E513" t="s">
        <v>80</v>
      </c>
      <c r="F513" t="s">
        <v>81</v>
      </c>
      <c r="G513" t="s">
        <v>30</v>
      </c>
      <c r="H513">
        <v>1</v>
      </c>
      <c r="I513">
        <v>11700</v>
      </c>
      <c r="J513">
        <v>11700</v>
      </c>
      <c r="K513" t="s">
        <v>70</v>
      </c>
      <c r="L513" t="s">
        <v>39</v>
      </c>
      <c r="M513" t="b">
        <v>0</v>
      </c>
      <c r="N513" t="s">
        <v>23</v>
      </c>
    </row>
    <row r="514" spans="1:14" x14ac:dyDescent="0.35">
      <c r="A514" t="s">
        <v>745</v>
      </c>
      <c r="B514" t="s">
        <v>388</v>
      </c>
      <c r="C514" t="s">
        <v>58</v>
      </c>
      <c r="D514" t="s">
        <v>59</v>
      </c>
      <c r="E514" t="s">
        <v>36</v>
      </c>
      <c r="F514" t="s">
        <v>37</v>
      </c>
      <c r="G514" t="s">
        <v>30</v>
      </c>
      <c r="H514">
        <v>1</v>
      </c>
      <c r="I514">
        <v>43700</v>
      </c>
      <c r="J514">
        <v>43700</v>
      </c>
      <c r="K514" t="s">
        <v>38</v>
      </c>
      <c r="L514" t="s">
        <v>109</v>
      </c>
      <c r="M514" t="b">
        <v>1</v>
      </c>
      <c r="N514" t="s">
        <v>33</v>
      </c>
    </row>
    <row r="515" spans="1:14" x14ac:dyDescent="0.35">
      <c r="A515" t="s">
        <v>746</v>
      </c>
      <c r="B515" t="s">
        <v>182</v>
      </c>
      <c r="C515" t="s">
        <v>67</v>
      </c>
      <c r="D515" t="s">
        <v>59</v>
      </c>
      <c r="E515" t="s">
        <v>52</v>
      </c>
      <c r="F515" t="s">
        <v>53</v>
      </c>
      <c r="G515" t="s">
        <v>20</v>
      </c>
      <c r="H515">
        <v>1</v>
      </c>
      <c r="I515">
        <v>8900</v>
      </c>
      <c r="J515">
        <v>8900</v>
      </c>
      <c r="K515" t="s">
        <v>38</v>
      </c>
      <c r="L515" t="s">
        <v>39</v>
      </c>
      <c r="M515" t="b">
        <v>0</v>
      </c>
      <c r="N515" t="s">
        <v>23</v>
      </c>
    </row>
    <row r="516" spans="1:14" x14ac:dyDescent="0.35">
      <c r="A516" t="s">
        <v>747</v>
      </c>
      <c r="B516" t="s">
        <v>358</v>
      </c>
      <c r="C516" t="s">
        <v>16</v>
      </c>
      <c r="D516" t="s">
        <v>17</v>
      </c>
      <c r="E516" t="s">
        <v>36</v>
      </c>
      <c r="F516" t="s">
        <v>37</v>
      </c>
      <c r="G516" t="s">
        <v>30</v>
      </c>
      <c r="H516">
        <v>1</v>
      </c>
      <c r="I516">
        <v>44000</v>
      </c>
      <c r="J516">
        <v>44000</v>
      </c>
      <c r="K516" t="s">
        <v>21</v>
      </c>
      <c r="L516" t="s">
        <v>47</v>
      </c>
      <c r="M516" t="b">
        <v>0</v>
      </c>
      <c r="N516" t="s">
        <v>33</v>
      </c>
    </row>
    <row r="517" spans="1:14" x14ac:dyDescent="0.35">
      <c r="A517" t="s">
        <v>748</v>
      </c>
      <c r="B517" t="s">
        <v>253</v>
      </c>
      <c r="C517" t="s">
        <v>67</v>
      </c>
      <c r="D517" t="s">
        <v>59</v>
      </c>
      <c r="E517" t="s">
        <v>102</v>
      </c>
      <c r="F517" t="s">
        <v>29</v>
      </c>
      <c r="G517" t="s">
        <v>30</v>
      </c>
      <c r="H517">
        <v>1</v>
      </c>
      <c r="I517">
        <v>28000</v>
      </c>
      <c r="J517">
        <v>28000</v>
      </c>
      <c r="K517" t="s">
        <v>31</v>
      </c>
      <c r="L517" t="s">
        <v>22</v>
      </c>
      <c r="M517" t="b">
        <v>0</v>
      </c>
      <c r="N517" t="s">
        <v>33</v>
      </c>
    </row>
    <row r="518" spans="1:14" x14ac:dyDescent="0.35">
      <c r="A518" t="s">
        <v>749</v>
      </c>
      <c r="B518" t="s">
        <v>150</v>
      </c>
      <c r="C518" t="s">
        <v>26</v>
      </c>
      <c r="D518" t="s">
        <v>27</v>
      </c>
      <c r="E518" t="s">
        <v>60</v>
      </c>
      <c r="F518" t="s">
        <v>53</v>
      </c>
      <c r="G518" t="s">
        <v>20</v>
      </c>
      <c r="H518">
        <v>3</v>
      </c>
      <c r="I518">
        <v>6900</v>
      </c>
      <c r="J518">
        <v>20700</v>
      </c>
      <c r="K518" t="s">
        <v>70</v>
      </c>
      <c r="L518" t="s">
        <v>88</v>
      </c>
      <c r="M518" t="b">
        <v>0</v>
      </c>
      <c r="N518" t="s">
        <v>23</v>
      </c>
    </row>
    <row r="519" spans="1:14" x14ac:dyDescent="0.35">
      <c r="A519" t="s">
        <v>750</v>
      </c>
      <c r="B519" t="s">
        <v>245</v>
      </c>
      <c r="C519" t="s">
        <v>42</v>
      </c>
      <c r="D519" t="s">
        <v>43</v>
      </c>
      <c r="E519" t="s">
        <v>102</v>
      </c>
      <c r="F519" t="s">
        <v>29</v>
      </c>
      <c r="G519" t="s">
        <v>20</v>
      </c>
      <c r="H519">
        <v>1</v>
      </c>
      <c r="I519">
        <v>27400</v>
      </c>
      <c r="J519">
        <v>27400</v>
      </c>
      <c r="K519" t="s">
        <v>31</v>
      </c>
      <c r="L519" t="s">
        <v>22</v>
      </c>
      <c r="M519" t="b">
        <v>0</v>
      </c>
      <c r="N519" t="s">
        <v>23</v>
      </c>
    </row>
    <row r="520" spans="1:14" x14ac:dyDescent="0.35">
      <c r="A520" t="s">
        <v>751</v>
      </c>
      <c r="B520" t="s">
        <v>692</v>
      </c>
      <c r="C520" t="s">
        <v>58</v>
      </c>
      <c r="D520" t="s">
        <v>59</v>
      </c>
      <c r="E520" t="s">
        <v>52</v>
      </c>
      <c r="F520" t="s">
        <v>53</v>
      </c>
      <c r="G520" t="s">
        <v>30</v>
      </c>
      <c r="H520">
        <v>3</v>
      </c>
      <c r="I520">
        <v>7900</v>
      </c>
      <c r="J520">
        <v>23700</v>
      </c>
      <c r="K520" t="s">
        <v>21</v>
      </c>
      <c r="L520" t="s">
        <v>109</v>
      </c>
      <c r="M520" t="b">
        <v>1</v>
      </c>
      <c r="N520" t="s">
        <v>23</v>
      </c>
    </row>
    <row r="521" spans="1:14" x14ac:dyDescent="0.35">
      <c r="A521" t="s">
        <v>752</v>
      </c>
      <c r="B521" t="s">
        <v>192</v>
      </c>
      <c r="C521" t="s">
        <v>16</v>
      </c>
      <c r="D521" t="s">
        <v>17</v>
      </c>
      <c r="E521" t="s">
        <v>120</v>
      </c>
      <c r="F521" t="s">
        <v>45</v>
      </c>
      <c r="G521" t="s">
        <v>30</v>
      </c>
      <c r="H521">
        <v>1</v>
      </c>
      <c r="I521">
        <v>53000</v>
      </c>
      <c r="J521">
        <v>53000</v>
      </c>
      <c r="K521" t="s">
        <v>38</v>
      </c>
      <c r="L521" t="s">
        <v>32</v>
      </c>
      <c r="M521" t="b">
        <v>1</v>
      </c>
      <c r="N521" t="s">
        <v>33</v>
      </c>
    </row>
    <row r="522" spans="1:14" x14ac:dyDescent="0.35">
      <c r="A522" t="s">
        <v>753</v>
      </c>
      <c r="B522" t="s">
        <v>754</v>
      </c>
      <c r="C522" t="s">
        <v>58</v>
      </c>
      <c r="D522" t="s">
        <v>59</v>
      </c>
      <c r="E522" t="s">
        <v>36</v>
      </c>
      <c r="F522" t="s">
        <v>37</v>
      </c>
      <c r="G522" t="s">
        <v>20</v>
      </c>
      <c r="H522">
        <v>2</v>
      </c>
      <c r="I522">
        <v>45000</v>
      </c>
      <c r="J522">
        <v>90000</v>
      </c>
      <c r="K522" t="s">
        <v>70</v>
      </c>
      <c r="L522" t="s">
        <v>39</v>
      </c>
      <c r="M522" t="b">
        <v>0</v>
      </c>
      <c r="N522" t="s">
        <v>33</v>
      </c>
    </row>
    <row r="523" spans="1:14" x14ac:dyDescent="0.35">
      <c r="A523" t="s">
        <v>755</v>
      </c>
      <c r="B523" t="s">
        <v>57</v>
      </c>
      <c r="C523" t="s">
        <v>16</v>
      </c>
      <c r="D523" t="s">
        <v>17</v>
      </c>
      <c r="E523" t="s">
        <v>102</v>
      </c>
      <c r="F523" t="s">
        <v>29</v>
      </c>
      <c r="G523" t="s">
        <v>20</v>
      </c>
      <c r="H523">
        <v>1</v>
      </c>
      <c r="I523">
        <v>29400</v>
      </c>
      <c r="J523">
        <v>29400</v>
      </c>
      <c r="K523" t="s">
        <v>31</v>
      </c>
      <c r="L523" t="s">
        <v>55</v>
      </c>
      <c r="M523" t="b">
        <v>0</v>
      </c>
      <c r="N523" t="s">
        <v>33</v>
      </c>
    </row>
    <row r="524" spans="1:14" x14ac:dyDescent="0.35">
      <c r="A524" t="s">
        <v>756</v>
      </c>
      <c r="B524" t="s">
        <v>226</v>
      </c>
      <c r="C524" t="s">
        <v>50</v>
      </c>
      <c r="D524" t="s">
        <v>51</v>
      </c>
      <c r="E524" t="s">
        <v>18</v>
      </c>
      <c r="F524" t="s">
        <v>19</v>
      </c>
      <c r="G524" t="s">
        <v>30</v>
      </c>
      <c r="H524">
        <v>1</v>
      </c>
      <c r="I524">
        <v>22700</v>
      </c>
      <c r="J524">
        <v>22700</v>
      </c>
      <c r="K524" t="s">
        <v>70</v>
      </c>
      <c r="L524" t="s">
        <v>47</v>
      </c>
      <c r="M524" t="b">
        <v>0</v>
      </c>
      <c r="N524" t="s">
        <v>23</v>
      </c>
    </row>
    <row r="525" spans="1:14" x14ac:dyDescent="0.35">
      <c r="A525" t="s">
        <v>757</v>
      </c>
      <c r="B525" t="s">
        <v>148</v>
      </c>
      <c r="C525" t="s">
        <v>16</v>
      </c>
      <c r="D525" t="s">
        <v>17</v>
      </c>
      <c r="E525" t="s">
        <v>120</v>
      </c>
      <c r="F525" t="s">
        <v>45</v>
      </c>
      <c r="G525" t="s">
        <v>20</v>
      </c>
      <c r="H525">
        <v>2</v>
      </c>
      <c r="I525">
        <v>52400</v>
      </c>
      <c r="J525">
        <v>104800</v>
      </c>
      <c r="K525" t="s">
        <v>31</v>
      </c>
      <c r="L525" t="s">
        <v>47</v>
      </c>
      <c r="M525" t="b">
        <v>0</v>
      </c>
      <c r="N525" t="s">
        <v>33</v>
      </c>
    </row>
    <row r="526" spans="1:14" x14ac:dyDescent="0.35">
      <c r="A526" t="s">
        <v>758</v>
      </c>
      <c r="B526" t="s">
        <v>113</v>
      </c>
      <c r="C526" t="s">
        <v>65</v>
      </c>
      <c r="D526" t="s">
        <v>27</v>
      </c>
      <c r="E526" t="s">
        <v>28</v>
      </c>
      <c r="F526" t="s">
        <v>29</v>
      </c>
      <c r="G526" t="s">
        <v>30</v>
      </c>
      <c r="H526">
        <v>1</v>
      </c>
      <c r="I526">
        <v>117300</v>
      </c>
      <c r="J526">
        <v>117300</v>
      </c>
      <c r="K526" t="s">
        <v>46</v>
      </c>
      <c r="L526" t="s">
        <v>88</v>
      </c>
      <c r="M526" t="b">
        <v>0</v>
      </c>
      <c r="N526" t="s">
        <v>33</v>
      </c>
    </row>
    <row r="527" spans="1:14" x14ac:dyDescent="0.35">
      <c r="A527" t="s">
        <v>759</v>
      </c>
      <c r="B527" t="s">
        <v>199</v>
      </c>
      <c r="C527" t="s">
        <v>16</v>
      </c>
      <c r="D527" t="s">
        <v>17</v>
      </c>
      <c r="E527" t="s">
        <v>60</v>
      </c>
      <c r="F527" t="s">
        <v>53</v>
      </c>
      <c r="G527" t="s">
        <v>20</v>
      </c>
      <c r="H527">
        <v>2</v>
      </c>
      <c r="I527">
        <v>6700</v>
      </c>
      <c r="J527">
        <v>13400</v>
      </c>
      <c r="K527" t="s">
        <v>54</v>
      </c>
      <c r="L527" t="s">
        <v>47</v>
      </c>
      <c r="M527" t="b">
        <v>0</v>
      </c>
      <c r="N527" t="s">
        <v>23</v>
      </c>
    </row>
    <row r="528" spans="1:14" x14ac:dyDescent="0.35">
      <c r="A528" t="s">
        <v>760</v>
      </c>
      <c r="B528" t="s">
        <v>531</v>
      </c>
      <c r="C528" t="s">
        <v>16</v>
      </c>
      <c r="D528" t="s">
        <v>17</v>
      </c>
      <c r="E528" t="s">
        <v>60</v>
      </c>
      <c r="F528" t="s">
        <v>53</v>
      </c>
      <c r="G528" t="s">
        <v>30</v>
      </c>
      <c r="H528">
        <v>2</v>
      </c>
      <c r="I528">
        <v>6700</v>
      </c>
      <c r="J528">
        <v>13400</v>
      </c>
      <c r="K528" t="s">
        <v>38</v>
      </c>
      <c r="L528" t="s">
        <v>22</v>
      </c>
      <c r="M528" t="b">
        <v>0</v>
      </c>
      <c r="N528" t="s">
        <v>23</v>
      </c>
    </row>
    <row r="529" spans="1:14" x14ac:dyDescent="0.35">
      <c r="A529" t="s">
        <v>761</v>
      </c>
      <c r="B529" t="s">
        <v>310</v>
      </c>
      <c r="C529" t="s">
        <v>58</v>
      </c>
      <c r="D529" t="s">
        <v>59</v>
      </c>
      <c r="E529" t="s">
        <v>74</v>
      </c>
      <c r="F529" t="s">
        <v>75</v>
      </c>
      <c r="G529" t="s">
        <v>20</v>
      </c>
      <c r="H529">
        <v>4</v>
      </c>
      <c r="I529">
        <v>4400</v>
      </c>
      <c r="J529">
        <v>17600</v>
      </c>
      <c r="K529" t="s">
        <v>54</v>
      </c>
      <c r="L529" t="s">
        <v>109</v>
      </c>
      <c r="M529" t="b">
        <v>1</v>
      </c>
      <c r="N529" t="s">
        <v>23</v>
      </c>
    </row>
    <row r="530" spans="1:14" x14ac:dyDescent="0.35">
      <c r="A530" t="s">
        <v>762</v>
      </c>
      <c r="B530" t="s">
        <v>134</v>
      </c>
      <c r="C530" t="s">
        <v>16</v>
      </c>
      <c r="D530" t="s">
        <v>17</v>
      </c>
      <c r="E530" t="s">
        <v>97</v>
      </c>
      <c r="F530" t="s">
        <v>29</v>
      </c>
      <c r="G530" t="s">
        <v>30</v>
      </c>
      <c r="H530">
        <v>1</v>
      </c>
      <c r="I530">
        <v>32900</v>
      </c>
      <c r="J530">
        <v>32900</v>
      </c>
      <c r="K530" t="s">
        <v>54</v>
      </c>
      <c r="L530" t="s">
        <v>109</v>
      </c>
      <c r="M530" t="b">
        <v>1</v>
      </c>
      <c r="N530" t="s">
        <v>33</v>
      </c>
    </row>
    <row r="531" spans="1:14" x14ac:dyDescent="0.35">
      <c r="A531" t="s">
        <v>763</v>
      </c>
      <c r="B531" t="s">
        <v>307</v>
      </c>
      <c r="C531" t="s">
        <v>65</v>
      </c>
      <c r="D531" t="s">
        <v>27</v>
      </c>
      <c r="E531" t="s">
        <v>44</v>
      </c>
      <c r="F531" t="s">
        <v>45</v>
      </c>
      <c r="G531" t="s">
        <v>30</v>
      </c>
      <c r="H531">
        <v>2</v>
      </c>
      <c r="I531">
        <v>26900</v>
      </c>
      <c r="J531">
        <v>53800</v>
      </c>
      <c r="K531" t="s">
        <v>31</v>
      </c>
      <c r="L531" t="s">
        <v>88</v>
      </c>
      <c r="M531" t="b">
        <v>0</v>
      </c>
      <c r="N531" t="s">
        <v>23</v>
      </c>
    </row>
    <row r="532" spans="1:14" x14ac:dyDescent="0.35">
      <c r="A532" t="s">
        <v>764</v>
      </c>
      <c r="B532" t="s">
        <v>257</v>
      </c>
      <c r="C532" t="s">
        <v>65</v>
      </c>
      <c r="D532" t="s">
        <v>27</v>
      </c>
      <c r="E532" t="s">
        <v>74</v>
      </c>
      <c r="F532" t="s">
        <v>75</v>
      </c>
      <c r="G532" t="s">
        <v>20</v>
      </c>
      <c r="H532">
        <v>1</v>
      </c>
      <c r="I532">
        <v>4400</v>
      </c>
      <c r="J532">
        <v>4400</v>
      </c>
      <c r="K532" t="s">
        <v>54</v>
      </c>
      <c r="L532" t="s">
        <v>88</v>
      </c>
      <c r="M532" t="b">
        <v>0</v>
      </c>
      <c r="N532" t="s">
        <v>23</v>
      </c>
    </row>
    <row r="533" spans="1:14" x14ac:dyDescent="0.35">
      <c r="A533" t="s">
        <v>765</v>
      </c>
      <c r="B533" t="s">
        <v>274</v>
      </c>
      <c r="C533" t="s">
        <v>65</v>
      </c>
      <c r="D533" t="s">
        <v>27</v>
      </c>
      <c r="E533" t="s">
        <v>28</v>
      </c>
      <c r="F533" t="s">
        <v>29</v>
      </c>
      <c r="G533" t="s">
        <v>30</v>
      </c>
      <c r="H533">
        <v>1</v>
      </c>
      <c r="I533">
        <v>124200</v>
      </c>
      <c r="J533">
        <v>124200</v>
      </c>
      <c r="K533" t="s">
        <v>54</v>
      </c>
      <c r="L533" t="s">
        <v>109</v>
      </c>
      <c r="M533" t="b">
        <v>1</v>
      </c>
      <c r="N533" t="s">
        <v>33</v>
      </c>
    </row>
    <row r="534" spans="1:14" x14ac:dyDescent="0.35">
      <c r="A534" t="s">
        <v>766</v>
      </c>
      <c r="B534" t="s">
        <v>454</v>
      </c>
      <c r="C534" t="s">
        <v>67</v>
      </c>
      <c r="D534" t="s">
        <v>59</v>
      </c>
      <c r="E534" t="s">
        <v>74</v>
      </c>
      <c r="F534" t="s">
        <v>75</v>
      </c>
      <c r="G534" t="s">
        <v>20</v>
      </c>
      <c r="H534">
        <v>1</v>
      </c>
      <c r="I534">
        <v>4500</v>
      </c>
      <c r="J534">
        <v>4500</v>
      </c>
      <c r="K534" t="s">
        <v>70</v>
      </c>
      <c r="L534" t="s">
        <v>47</v>
      </c>
      <c r="M534" t="b">
        <v>0</v>
      </c>
      <c r="N534" t="s">
        <v>23</v>
      </c>
    </row>
    <row r="535" spans="1:14" x14ac:dyDescent="0.35">
      <c r="A535" t="s">
        <v>767</v>
      </c>
      <c r="B535" t="s">
        <v>300</v>
      </c>
      <c r="C535" t="s">
        <v>67</v>
      </c>
      <c r="D535" t="s">
        <v>59</v>
      </c>
      <c r="E535" t="s">
        <v>120</v>
      </c>
      <c r="F535" t="s">
        <v>45</v>
      </c>
      <c r="G535" t="s">
        <v>30</v>
      </c>
      <c r="H535">
        <v>1</v>
      </c>
      <c r="I535">
        <v>55800</v>
      </c>
      <c r="J535">
        <v>55800</v>
      </c>
      <c r="K535" t="s">
        <v>46</v>
      </c>
      <c r="L535" t="s">
        <v>39</v>
      </c>
      <c r="M535" t="b">
        <v>0</v>
      </c>
      <c r="N535" t="s">
        <v>33</v>
      </c>
    </row>
    <row r="536" spans="1:14" x14ac:dyDescent="0.35">
      <c r="A536" t="s">
        <v>768</v>
      </c>
      <c r="B536" t="s">
        <v>15</v>
      </c>
      <c r="C536" t="s">
        <v>50</v>
      </c>
      <c r="D536" t="s">
        <v>51</v>
      </c>
      <c r="E536" t="s">
        <v>28</v>
      </c>
      <c r="F536" t="s">
        <v>29</v>
      </c>
      <c r="G536" t="s">
        <v>30</v>
      </c>
      <c r="H536">
        <v>1</v>
      </c>
      <c r="I536">
        <v>112000</v>
      </c>
      <c r="J536">
        <v>112000</v>
      </c>
      <c r="K536" t="s">
        <v>21</v>
      </c>
      <c r="L536" t="s">
        <v>22</v>
      </c>
      <c r="M536" t="b">
        <v>0</v>
      </c>
      <c r="N536" t="s">
        <v>33</v>
      </c>
    </row>
    <row r="537" spans="1:14" x14ac:dyDescent="0.35">
      <c r="A537" t="s">
        <v>769</v>
      </c>
      <c r="B537" t="s">
        <v>174</v>
      </c>
      <c r="C537" t="s">
        <v>50</v>
      </c>
      <c r="D537" t="s">
        <v>51</v>
      </c>
      <c r="E537" t="s">
        <v>36</v>
      </c>
      <c r="F537" t="s">
        <v>37</v>
      </c>
      <c r="G537" t="s">
        <v>30</v>
      </c>
      <c r="H537">
        <v>1</v>
      </c>
      <c r="I537">
        <v>42800</v>
      </c>
      <c r="J537">
        <v>42800</v>
      </c>
      <c r="K537" t="s">
        <v>31</v>
      </c>
      <c r="L537" t="s">
        <v>39</v>
      </c>
      <c r="M537" t="b">
        <v>0</v>
      </c>
      <c r="N537" t="s">
        <v>33</v>
      </c>
    </row>
    <row r="538" spans="1:14" x14ac:dyDescent="0.35">
      <c r="A538" t="s">
        <v>770</v>
      </c>
      <c r="B538" t="s">
        <v>312</v>
      </c>
      <c r="C538" t="s">
        <v>58</v>
      </c>
      <c r="D538" t="s">
        <v>59</v>
      </c>
      <c r="E538" t="s">
        <v>18</v>
      </c>
      <c r="F538" t="s">
        <v>19</v>
      </c>
      <c r="G538" t="s">
        <v>30</v>
      </c>
      <c r="H538">
        <v>1</v>
      </c>
      <c r="I538">
        <v>21400</v>
      </c>
      <c r="J538">
        <v>21400</v>
      </c>
      <c r="K538" t="s">
        <v>54</v>
      </c>
      <c r="L538" t="s">
        <v>32</v>
      </c>
      <c r="M538" t="b">
        <v>1</v>
      </c>
      <c r="N538" t="s">
        <v>23</v>
      </c>
    </row>
    <row r="539" spans="1:14" x14ac:dyDescent="0.35">
      <c r="A539" t="s">
        <v>771</v>
      </c>
      <c r="B539" t="s">
        <v>297</v>
      </c>
      <c r="C539" t="s">
        <v>73</v>
      </c>
      <c r="D539" t="s">
        <v>43</v>
      </c>
      <c r="E539" t="s">
        <v>18</v>
      </c>
      <c r="F539" t="s">
        <v>19</v>
      </c>
      <c r="G539" t="s">
        <v>20</v>
      </c>
      <c r="H539">
        <v>1</v>
      </c>
      <c r="I539">
        <v>20900</v>
      </c>
      <c r="J539">
        <v>20900</v>
      </c>
      <c r="K539" t="s">
        <v>70</v>
      </c>
      <c r="L539" t="s">
        <v>109</v>
      </c>
      <c r="M539" t="b">
        <v>1</v>
      </c>
      <c r="N539" t="s">
        <v>23</v>
      </c>
    </row>
    <row r="540" spans="1:14" x14ac:dyDescent="0.35">
      <c r="A540" t="s">
        <v>772</v>
      </c>
      <c r="B540" t="s">
        <v>371</v>
      </c>
      <c r="C540" t="s">
        <v>50</v>
      </c>
      <c r="D540" t="s">
        <v>51</v>
      </c>
      <c r="E540" t="s">
        <v>36</v>
      </c>
      <c r="F540" t="s">
        <v>37</v>
      </c>
      <c r="G540" t="s">
        <v>30</v>
      </c>
      <c r="H540">
        <v>3</v>
      </c>
      <c r="I540">
        <v>42600</v>
      </c>
      <c r="J540">
        <v>127800</v>
      </c>
      <c r="K540" t="s">
        <v>46</v>
      </c>
      <c r="L540" t="s">
        <v>109</v>
      </c>
      <c r="M540" t="b">
        <v>1</v>
      </c>
      <c r="N540" t="s">
        <v>33</v>
      </c>
    </row>
    <row r="541" spans="1:14" x14ac:dyDescent="0.35">
      <c r="A541" t="s">
        <v>773</v>
      </c>
      <c r="B541" t="s">
        <v>49</v>
      </c>
      <c r="C541" t="s">
        <v>67</v>
      </c>
      <c r="D541" t="s">
        <v>59</v>
      </c>
      <c r="E541" t="s">
        <v>120</v>
      </c>
      <c r="F541" t="s">
        <v>45</v>
      </c>
      <c r="G541" t="s">
        <v>30</v>
      </c>
      <c r="H541">
        <v>1</v>
      </c>
      <c r="I541">
        <v>57900</v>
      </c>
      <c r="J541">
        <v>57900</v>
      </c>
      <c r="K541" t="s">
        <v>54</v>
      </c>
      <c r="L541" t="s">
        <v>55</v>
      </c>
      <c r="M541" t="b">
        <v>0</v>
      </c>
      <c r="N541" t="s">
        <v>33</v>
      </c>
    </row>
    <row r="542" spans="1:14" x14ac:dyDescent="0.35">
      <c r="A542" t="s">
        <v>774</v>
      </c>
      <c r="B542" t="s">
        <v>427</v>
      </c>
      <c r="C542" t="s">
        <v>26</v>
      </c>
      <c r="D542" t="s">
        <v>27</v>
      </c>
      <c r="E542" t="s">
        <v>94</v>
      </c>
      <c r="F542" t="s">
        <v>37</v>
      </c>
      <c r="G542" t="s">
        <v>20</v>
      </c>
      <c r="H542">
        <v>5</v>
      </c>
      <c r="I542">
        <v>18600</v>
      </c>
      <c r="J542">
        <v>93000</v>
      </c>
      <c r="K542" t="s">
        <v>70</v>
      </c>
      <c r="L542" t="s">
        <v>88</v>
      </c>
      <c r="M542" t="b">
        <v>0</v>
      </c>
      <c r="N542" t="s">
        <v>23</v>
      </c>
    </row>
    <row r="543" spans="1:14" x14ac:dyDescent="0.35">
      <c r="A543" t="s">
        <v>775</v>
      </c>
      <c r="B543" t="s">
        <v>521</v>
      </c>
      <c r="C543" t="s">
        <v>16</v>
      </c>
      <c r="D543" t="s">
        <v>17</v>
      </c>
      <c r="E543" t="s">
        <v>36</v>
      </c>
      <c r="F543" t="s">
        <v>37</v>
      </c>
      <c r="G543" t="s">
        <v>20</v>
      </c>
      <c r="H543">
        <v>1</v>
      </c>
      <c r="I543">
        <v>41800</v>
      </c>
      <c r="J543">
        <v>41800</v>
      </c>
      <c r="K543" t="s">
        <v>31</v>
      </c>
      <c r="L543" t="s">
        <v>55</v>
      </c>
      <c r="M543" t="b">
        <v>0</v>
      </c>
      <c r="N543" t="s">
        <v>33</v>
      </c>
    </row>
    <row r="544" spans="1:14" x14ac:dyDescent="0.35">
      <c r="A544" t="s">
        <v>776</v>
      </c>
      <c r="B544" t="s">
        <v>777</v>
      </c>
      <c r="C544" t="s">
        <v>73</v>
      </c>
      <c r="D544" t="s">
        <v>43</v>
      </c>
      <c r="E544" t="s">
        <v>36</v>
      </c>
      <c r="F544" t="s">
        <v>37</v>
      </c>
      <c r="G544" t="s">
        <v>30</v>
      </c>
      <c r="H544">
        <v>5</v>
      </c>
      <c r="I544">
        <v>43300</v>
      </c>
      <c r="J544">
        <v>216500</v>
      </c>
      <c r="K544" t="s">
        <v>46</v>
      </c>
      <c r="L544" t="s">
        <v>39</v>
      </c>
      <c r="M544" t="b">
        <v>0</v>
      </c>
      <c r="N544" t="s">
        <v>33</v>
      </c>
    </row>
    <row r="545" spans="1:14" x14ac:dyDescent="0.35">
      <c r="A545" t="s">
        <v>778</v>
      </c>
      <c r="B545" t="s">
        <v>35</v>
      </c>
      <c r="C545" t="s">
        <v>65</v>
      </c>
      <c r="D545" t="s">
        <v>27</v>
      </c>
      <c r="E545" t="s">
        <v>102</v>
      </c>
      <c r="F545" t="s">
        <v>29</v>
      </c>
      <c r="G545" t="s">
        <v>20</v>
      </c>
      <c r="H545">
        <v>1</v>
      </c>
      <c r="I545">
        <v>28100</v>
      </c>
      <c r="J545">
        <v>28100</v>
      </c>
      <c r="K545" t="s">
        <v>38</v>
      </c>
      <c r="L545" t="s">
        <v>39</v>
      </c>
      <c r="M545" t="b">
        <v>0</v>
      </c>
      <c r="N545" t="s">
        <v>33</v>
      </c>
    </row>
    <row r="546" spans="1:14" x14ac:dyDescent="0.35">
      <c r="A546" t="s">
        <v>779</v>
      </c>
      <c r="B546" t="s">
        <v>192</v>
      </c>
      <c r="C546" t="s">
        <v>50</v>
      </c>
      <c r="D546" t="s">
        <v>51</v>
      </c>
      <c r="E546" t="s">
        <v>120</v>
      </c>
      <c r="F546" t="s">
        <v>45</v>
      </c>
      <c r="G546" t="s">
        <v>30</v>
      </c>
      <c r="H546">
        <v>1</v>
      </c>
      <c r="I546">
        <v>56900</v>
      </c>
      <c r="J546">
        <v>56900</v>
      </c>
      <c r="K546" t="s">
        <v>38</v>
      </c>
      <c r="L546" t="s">
        <v>32</v>
      </c>
      <c r="M546" t="b">
        <v>1</v>
      </c>
      <c r="N546" t="s">
        <v>33</v>
      </c>
    </row>
    <row r="547" spans="1:14" x14ac:dyDescent="0.35">
      <c r="A547" t="s">
        <v>780</v>
      </c>
      <c r="B547" t="s">
        <v>257</v>
      </c>
      <c r="C547" t="s">
        <v>26</v>
      </c>
      <c r="D547" t="s">
        <v>27</v>
      </c>
      <c r="E547" t="s">
        <v>102</v>
      </c>
      <c r="F547" t="s">
        <v>29</v>
      </c>
      <c r="G547" t="s">
        <v>30</v>
      </c>
      <c r="H547">
        <v>1</v>
      </c>
      <c r="I547">
        <v>30500</v>
      </c>
      <c r="J547">
        <v>30500</v>
      </c>
      <c r="K547" t="s">
        <v>54</v>
      </c>
      <c r="L547" t="s">
        <v>88</v>
      </c>
      <c r="M547" t="b">
        <v>0</v>
      </c>
      <c r="N547" t="s">
        <v>33</v>
      </c>
    </row>
    <row r="548" spans="1:14" x14ac:dyDescent="0.35">
      <c r="A548" t="s">
        <v>781</v>
      </c>
      <c r="B548" t="s">
        <v>211</v>
      </c>
      <c r="C548" t="s">
        <v>67</v>
      </c>
      <c r="D548" t="s">
        <v>59</v>
      </c>
      <c r="E548" t="s">
        <v>74</v>
      </c>
      <c r="F548" t="s">
        <v>75</v>
      </c>
      <c r="G548" t="s">
        <v>30</v>
      </c>
      <c r="H548">
        <v>1</v>
      </c>
      <c r="I548">
        <v>4700</v>
      </c>
      <c r="J548">
        <v>4700</v>
      </c>
      <c r="K548" t="s">
        <v>54</v>
      </c>
      <c r="L548" t="s">
        <v>47</v>
      </c>
      <c r="M548" t="b">
        <v>0</v>
      </c>
      <c r="N548" t="s">
        <v>23</v>
      </c>
    </row>
    <row r="549" spans="1:14" x14ac:dyDescent="0.35">
      <c r="A549" t="s">
        <v>782</v>
      </c>
      <c r="B549" t="s">
        <v>283</v>
      </c>
      <c r="C549" t="s">
        <v>67</v>
      </c>
      <c r="D549" t="s">
        <v>59</v>
      </c>
      <c r="E549" t="s">
        <v>80</v>
      </c>
      <c r="F549" t="s">
        <v>81</v>
      </c>
      <c r="G549" t="s">
        <v>20</v>
      </c>
      <c r="H549">
        <v>3</v>
      </c>
      <c r="I549">
        <v>11900</v>
      </c>
      <c r="J549">
        <v>35700</v>
      </c>
      <c r="K549" t="s">
        <v>21</v>
      </c>
      <c r="L549" t="s">
        <v>88</v>
      </c>
      <c r="M549" t="b">
        <v>0</v>
      </c>
      <c r="N549" t="s">
        <v>23</v>
      </c>
    </row>
    <row r="550" spans="1:14" x14ac:dyDescent="0.35">
      <c r="A550" t="s">
        <v>783</v>
      </c>
      <c r="B550" t="s">
        <v>777</v>
      </c>
      <c r="C550" t="s">
        <v>16</v>
      </c>
      <c r="D550" t="s">
        <v>17</v>
      </c>
      <c r="E550" t="s">
        <v>94</v>
      </c>
      <c r="F550" t="s">
        <v>37</v>
      </c>
      <c r="G550" t="s">
        <v>30</v>
      </c>
      <c r="H550">
        <v>1</v>
      </c>
      <c r="I550">
        <v>18300</v>
      </c>
      <c r="J550">
        <v>18300</v>
      </c>
      <c r="K550" t="s">
        <v>46</v>
      </c>
      <c r="L550" t="s">
        <v>39</v>
      </c>
      <c r="M550" t="b">
        <v>0</v>
      </c>
      <c r="N550" t="s">
        <v>23</v>
      </c>
    </row>
    <row r="551" spans="1:14" x14ac:dyDescent="0.35">
      <c r="A551" t="s">
        <v>784</v>
      </c>
      <c r="B551" t="s">
        <v>322</v>
      </c>
      <c r="C551" t="s">
        <v>58</v>
      </c>
      <c r="D551" t="s">
        <v>59</v>
      </c>
      <c r="E551" t="s">
        <v>60</v>
      </c>
      <c r="F551" t="s">
        <v>53</v>
      </c>
      <c r="G551" t="s">
        <v>20</v>
      </c>
      <c r="H551">
        <v>1</v>
      </c>
      <c r="I551">
        <v>7000</v>
      </c>
      <c r="J551">
        <v>7000</v>
      </c>
      <c r="K551" t="s">
        <v>46</v>
      </c>
      <c r="L551" t="s">
        <v>55</v>
      </c>
      <c r="M551" t="b">
        <v>0</v>
      </c>
      <c r="N551" t="s">
        <v>23</v>
      </c>
    </row>
    <row r="552" spans="1:14" x14ac:dyDescent="0.35">
      <c r="A552" t="s">
        <v>785</v>
      </c>
      <c r="B552" t="s">
        <v>364</v>
      </c>
      <c r="C552" t="s">
        <v>67</v>
      </c>
      <c r="D552" t="s">
        <v>59</v>
      </c>
      <c r="E552" t="s">
        <v>120</v>
      </c>
      <c r="F552" t="s">
        <v>45</v>
      </c>
      <c r="G552" t="s">
        <v>30</v>
      </c>
      <c r="H552">
        <v>1</v>
      </c>
      <c r="I552">
        <v>56700</v>
      </c>
      <c r="J552">
        <v>56700</v>
      </c>
      <c r="K552" t="s">
        <v>21</v>
      </c>
      <c r="L552" t="s">
        <v>88</v>
      </c>
      <c r="M552" t="b">
        <v>0</v>
      </c>
      <c r="N552" t="s">
        <v>33</v>
      </c>
    </row>
    <row r="553" spans="1:14" x14ac:dyDescent="0.35">
      <c r="A553" t="s">
        <v>786</v>
      </c>
      <c r="B553" t="s">
        <v>787</v>
      </c>
      <c r="C553" t="s">
        <v>73</v>
      </c>
      <c r="D553" t="s">
        <v>43</v>
      </c>
      <c r="E553" t="s">
        <v>44</v>
      </c>
      <c r="F553" t="s">
        <v>45</v>
      </c>
      <c r="G553" t="s">
        <v>20</v>
      </c>
      <c r="H553">
        <v>1</v>
      </c>
      <c r="I553">
        <v>26200</v>
      </c>
      <c r="J553">
        <v>26200</v>
      </c>
      <c r="K553" t="s">
        <v>54</v>
      </c>
      <c r="L553" t="s">
        <v>32</v>
      </c>
      <c r="M553" t="b">
        <v>1</v>
      </c>
      <c r="N553" t="s">
        <v>23</v>
      </c>
    </row>
    <row r="554" spans="1:14" x14ac:dyDescent="0.35">
      <c r="A554" t="s">
        <v>788</v>
      </c>
      <c r="B554" t="s">
        <v>354</v>
      </c>
      <c r="C554" t="s">
        <v>42</v>
      </c>
      <c r="D554" t="s">
        <v>43</v>
      </c>
      <c r="E554" t="s">
        <v>94</v>
      </c>
      <c r="F554" t="s">
        <v>37</v>
      </c>
      <c r="G554" t="s">
        <v>30</v>
      </c>
      <c r="H554">
        <v>5</v>
      </c>
      <c r="I554">
        <v>19500</v>
      </c>
      <c r="J554">
        <v>97500</v>
      </c>
      <c r="K554" t="s">
        <v>31</v>
      </c>
      <c r="L554" t="s">
        <v>109</v>
      </c>
      <c r="M554" t="b">
        <v>1</v>
      </c>
      <c r="N554" t="s">
        <v>23</v>
      </c>
    </row>
    <row r="555" spans="1:14" x14ac:dyDescent="0.35">
      <c r="A555" t="s">
        <v>789</v>
      </c>
      <c r="B555" t="s">
        <v>686</v>
      </c>
      <c r="C555" t="s">
        <v>16</v>
      </c>
      <c r="D555" t="s">
        <v>17</v>
      </c>
      <c r="E555" t="s">
        <v>36</v>
      </c>
      <c r="F555" t="s">
        <v>37</v>
      </c>
      <c r="G555" t="s">
        <v>30</v>
      </c>
      <c r="H555">
        <v>1</v>
      </c>
      <c r="I555">
        <v>44400</v>
      </c>
      <c r="J555">
        <v>44400</v>
      </c>
      <c r="K555" t="s">
        <v>38</v>
      </c>
      <c r="L555" t="s">
        <v>55</v>
      </c>
      <c r="M555" t="b">
        <v>0</v>
      </c>
      <c r="N555" t="s">
        <v>33</v>
      </c>
    </row>
    <row r="556" spans="1:14" x14ac:dyDescent="0.35">
      <c r="A556" t="s">
        <v>790</v>
      </c>
      <c r="B556" t="s">
        <v>123</v>
      </c>
      <c r="C556" t="s">
        <v>58</v>
      </c>
      <c r="D556" t="s">
        <v>59</v>
      </c>
      <c r="E556" t="s">
        <v>44</v>
      </c>
      <c r="F556" t="s">
        <v>45</v>
      </c>
      <c r="G556" t="s">
        <v>20</v>
      </c>
      <c r="H556">
        <v>2</v>
      </c>
      <c r="I556">
        <v>28300</v>
      </c>
      <c r="J556">
        <v>56600</v>
      </c>
      <c r="K556" t="s">
        <v>31</v>
      </c>
      <c r="L556" t="s">
        <v>32</v>
      </c>
      <c r="M556" t="b">
        <v>1</v>
      </c>
      <c r="N556" t="s">
        <v>33</v>
      </c>
    </row>
    <row r="557" spans="1:14" x14ac:dyDescent="0.35">
      <c r="A557" t="s">
        <v>791</v>
      </c>
      <c r="B557" t="s">
        <v>787</v>
      </c>
      <c r="C557" t="s">
        <v>58</v>
      </c>
      <c r="D557" t="s">
        <v>59</v>
      </c>
      <c r="E557" t="s">
        <v>94</v>
      </c>
      <c r="F557" t="s">
        <v>37</v>
      </c>
      <c r="G557" t="s">
        <v>30</v>
      </c>
      <c r="H557">
        <v>1</v>
      </c>
      <c r="I557">
        <v>18200</v>
      </c>
      <c r="J557">
        <v>18200</v>
      </c>
      <c r="K557" t="s">
        <v>54</v>
      </c>
      <c r="L557" t="s">
        <v>32</v>
      </c>
      <c r="M557" t="b">
        <v>1</v>
      </c>
      <c r="N557" t="s">
        <v>23</v>
      </c>
    </row>
    <row r="558" spans="1:14" x14ac:dyDescent="0.35">
      <c r="A558" t="s">
        <v>792</v>
      </c>
      <c r="B558" t="s">
        <v>364</v>
      </c>
      <c r="C558" t="s">
        <v>58</v>
      </c>
      <c r="D558" t="s">
        <v>59</v>
      </c>
      <c r="E558" t="s">
        <v>102</v>
      </c>
      <c r="F558" t="s">
        <v>29</v>
      </c>
      <c r="G558" t="s">
        <v>20</v>
      </c>
      <c r="H558">
        <v>5</v>
      </c>
      <c r="I558">
        <v>28200</v>
      </c>
      <c r="J558">
        <v>141000</v>
      </c>
      <c r="K558" t="s">
        <v>21</v>
      </c>
      <c r="L558" t="s">
        <v>88</v>
      </c>
      <c r="M558" t="b">
        <v>0</v>
      </c>
      <c r="N558" t="s">
        <v>33</v>
      </c>
    </row>
    <row r="559" spans="1:14" x14ac:dyDescent="0.35">
      <c r="A559" t="s">
        <v>793</v>
      </c>
      <c r="B559" t="s">
        <v>72</v>
      </c>
      <c r="C559" t="s">
        <v>16</v>
      </c>
      <c r="D559" t="s">
        <v>17</v>
      </c>
      <c r="E559" t="s">
        <v>97</v>
      </c>
      <c r="F559" t="s">
        <v>29</v>
      </c>
      <c r="G559" t="s">
        <v>30</v>
      </c>
      <c r="H559">
        <v>2</v>
      </c>
      <c r="I559">
        <v>33900</v>
      </c>
      <c r="J559">
        <v>67800</v>
      </c>
      <c r="K559" t="s">
        <v>38</v>
      </c>
      <c r="L559" t="s">
        <v>22</v>
      </c>
      <c r="M559" t="b">
        <v>0</v>
      </c>
      <c r="N559" t="s">
        <v>33</v>
      </c>
    </row>
    <row r="560" spans="1:14" x14ac:dyDescent="0.35">
      <c r="A560" t="s">
        <v>794</v>
      </c>
      <c r="B560" t="s">
        <v>291</v>
      </c>
      <c r="C560" t="s">
        <v>26</v>
      </c>
      <c r="D560" t="s">
        <v>27</v>
      </c>
      <c r="E560" t="s">
        <v>102</v>
      </c>
      <c r="F560" t="s">
        <v>29</v>
      </c>
      <c r="G560" t="s">
        <v>30</v>
      </c>
      <c r="H560">
        <v>1</v>
      </c>
      <c r="I560">
        <v>27700</v>
      </c>
      <c r="J560">
        <v>27700</v>
      </c>
      <c r="K560" t="s">
        <v>21</v>
      </c>
      <c r="L560" t="s">
        <v>32</v>
      </c>
      <c r="M560" t="b">
        <v>1</v>
      </c>
      <c r="N560" t="s">
        <v>23</v>
      </c>
    </row>
    <row r="561" spans="1:14" x14ac:dyDescent="0.35">
      <c r="A561" t="s">
        <v>795</v>
      </c>
      <c r="B561" t="s">
        <v>470</v>
      </c>
      <c r="C561" t="s">
        <v>73</v>
      </c>
      <c r="D561" t="s">
        <v>43</v>
      </c>
      <c r="E561" t="s">
        <v>52</v>
      </c>
      <c r="F561" t="s">
        <v>53</v>
      </c>
      <c r="G561" t="s">
        <v>30</v>
      </c>
      <c r="H561">
        <v>4</v>
      </c>
      <c r="I561">
        <v>8000</v>
      </c>
      <c r="J561">
        <v>32000</v>
      </c>
      <c r="K561" t="s">
        <v>31</v>
      </c>
      <c r="L561" t="s">
        <v>55</v>
      </c>
      <c r="M561" t="b">
        <v>0</v>
      </c>
      <c r="N561" t="s">
        <v>23</v>
      </c>
    </row>
    <row r="562" spans="1:14" x14ac:dyDescent="0.35">
      <c r="A562" t="s">
        <v>796</v>
      </c>
      <c r="B562" t="s">
        <v>119</v>
      </c>
      <c r="C562" t="s">
        <v>50</v>
      </c>
      <c r="D562" t="s">
        <v>51</v>
      </c>
      <c r="E562" t="s">
        <v>60</v>
      </c>
      <c r="F562" t="s">
        <v>53</v>
      </c>
      <c r="G562" t="s">
        <v>30</v>
      </c>
      <c r="H562">
        <v>2</v>
      </c>
      <c r="I562">
        <v>7200</v>
      </c>
      <c r="J562">
        <v>14400</v>
      </c>
      <c r="K562" t="s">
        <v>54</v>
      </c>
      <c r="L562" t="s">
        <v>55</v>
      </c>
      <c r="M562" t="b">
        <v>0</v>
      </c>
      <c r="N562" t="s">
        <v>23</v>
      </c>
    </row>
    <row r="563" spans="1:14" x14ac:dyDescent="0.35">
      <c r="A563" t="s">
        <v>797</v>
      </c>
      <c r="B563" t="s">
        <v>690</v>
      </c>
      <c r="C563" t="s">
        <v>50</v>
      </c>
      <c r="D563" t="s">
        <v>51</v>
      </c>
      <c r="E563" t="s">
        <v>74</v>
      </c>
      <c r="F563" t="s">
        <v>75</v>
      </c>
      <c r="G563" t="s">
        <v>20</v>
      </c>
      <c r="H563">
        <v>2</v>
      </c>
      <c r="I563">
        <v>4700</v>
      </c>
      <c r="J563">
        <v>9400</v>
      </c>
      <c r="K563" t="s">
        <v>54</v>
      </c>
      <c r="L563" t="s">
        <v>32</v>
      </c>
      <c r="M563" t="b">
        <v>1</v>
      </c>
      <c r="N563" t="s">
        <v>23</v>
      </c>
    </row>
    <row r="564" spans="1:14" x14ac:dyDescent="0.35">
      <c r="A564" t="s">
        <v>798</v>
      </c>
      <c r="B564" t="s">
        <v>174</v>
      </c>
      <c r="C564" t="s">
        <v>16</v>
      </c>
      <c r="D564" t="s">
        <v>17</v>
      </c>
      <c r="E564" t="s">
        <v>18</v>
      </c>
      <c r="F564" t="s">
        <v>19</v>
      </c>
      <c r="G564" t="s">
        <v>30</v>
      </c>
      <c r="H564">
        <v>4</v>
      </c>
      <c r="I564">
        <v>23400</v>
      </c>
      <c r="J564">
        <v>93600</v>
      </c>
      <c r="K564" t="s">
        <v>31</v>
      </c>
      <c r="L564" t="s">
        <v>39</v>
      </c>
      <c r="M564" t="b">
        <v>0</v>
      </c>
      <c r="N564" t="s">
        <v>23</v>
      </c>
    </row>
    <row r="565" spans="1:14" x14ac:dyDescent="0.35">
      <c r="A565" t="s">
        <v>799</v>
      </c>
      <c r="B565" t="s">
        <v>331</v>
      </c>
      <c r="C565" t="s">
        <v>67</v>
      </c>
      <c r="D565" t="s">
        <v>59</v>
      </c>
      <c r="E565" t="s">
        <v>28</v>
      </c>
      <c r="F565" t="s">
        <v>29</v>
      </c>
      <c r="G565" t="s">
        <v>30</v>
      </c>
      <c r="H565">
        <v>2</v>
      </c>
      <c r="I565">
        <v>110900</v>
      </c>
      <c r="J565">
        <v>221800</v>
      </c>
      <c r="K565" t="s">
        <v>38</v>
      </c>
      <c r="L565" t="s">
        <v>109</v>
      </c>
      <c r="M565" t="b">
        <v>1</v>
      </c>
      <c r="N565" t="s">
        <v>33</v>
      </c>
    </row>
    <row r="566" spans="1:14" x14ac:dyDescent="0.35">
      <c r="A566" t="s">
        <v>800</v>
      </c>
      <c r="B566" t="s">
        <v>360</v>
      </c>
      <c r="C566" t="s">
        <v>26</v>
      </c>
      <c r="D566" t="s">
        <v>27</v>
      </c>
      <c r="E566" t="s">
        <v>60</v>
      </c>
      <c r="F566" t="s">
        <v>53</v>
      </c>
      <c r="G566" t="s">
        <v>30</v>
      </c>
      <c r="H566">
        <v>1</v>
      </c>
      <c r="I566">
        <v>6900</v>
      </c>
      <c r="J566">
        <v>6900</v>
      </c>
      <c r="K566" t="s">
        <v>21</v>
      </c>
      <c r="L566" t="s">
        <v>88</v>
      </c>
      <c r="M566" t="b">
        <v>0</v>
      </c>
      <c r="N566" t="s">
        <v>23</v>
      </c>
    </row>
    <row r="567" spans="1:14" x14ac:dyDescent="0.35">
      <c r="A567" t="s">
        <v>801</v>
      </c>
      <c r="B567" t="s">
        <v>214</v>
      </c>
      <c r="C567" t="s">
        <v>67</v>
      </c>
      <c r="D567" t="s">
        <v>59</v>
      </c>
      <c r="E567" t="s">
        <v>94</v>
      </c>
      <c r="F567" t="s">
        <v>37</v>
      </c>
      <c r="G567" t="s">
        <v>20</v>
      </c>
      <c r="H567">
        <v>1</v>
      </c>
      <c r="I567">
        <v>19400</v>
      </c>
      <c r="J567">
        <v>19400</v>
      </c>
      <c r="K567" t="s">
        <v>31</v>
      </c>
      <c r="L567" t="s">
        <v>47</v>
      </c>
      <c r="M567" t="b">
        <v>0</v>
      </c>
      <c r="N567" t="s">
        <v>23</v>
      </c>
    </row>
    <row r="568" spans="1:14" x14ac:dyDescent="0.35">
      <c r="A568" t="s">
        <v>802</v>
      </c>
      <c r="B568" t="s">
        <v>148</v>
      </c>
      <c r="C568" t="s">
        <v>42</v>
      </c>
      <c r="D568" t="s">
        <v>43</v>
      </c>
      <c r="E568" t="s">
        <v>80</v>
      </c>
      <c r="F568" t="s">
        <v>81</v>
      </c>
      <c r="G568" t="s">
        <v>30</v>
      </c>
      <c r="H568">
        <v>1</v>
      </c>
      <c r="I568">
        <v>12300</v>
      </c>
      <c r="J568">
        <v>12300</v>
      </c>
      <c r="K568" t="s">
        <v>31</v>
      </c>
      <c r="L568" t="s">
        <v>47</v>
      </c>
      <c r="M568" t="b">
        <v>0</v>
      </c>
      <c r="N568" t="s">
        <v>23</v>
      </c>
    </row>
    <row r="569" spans="1:14" x14ac:dyDescent="0.35">
      <c r="A569" t="s">
        <v>803</v>
      </c>
      <c r="B569" t="s">
        <v>134</v>
      </c>
      <c r="C569" t="s">
        <v>65</v>
      </c>
      <c r="D569" t="s">
        <v>27</v>
      </c>
      <c r="E569" t="s">
        <v>80</v>
      </c>
      <c r="F569" t="s">
        <v>81</v>
      </c>
      <c r="G569" t="s">
        <v>30</v>
      </c>
      <c r="H569">
        <v>1</v>
      </c>
      <c r="I569">
        <v>11400</v>
      </c>
      <c r="J569">
        <v>11400</v>
      </c>
      <c r="K569" t="s">
        <v>54</v>
      </c>
      <c r="L569" t="s">
        <v>109</v>
      </c>
      <c r="M569" t="b">
        <v>1</v>
      </c>
      <c r="N569" t="s">
        <v>23</v>
      </c>
    </row>
    <row r="570" spans="1:14" x14ac:dyDescent="0.35">
      <c r="A570" t="s">
        <v>804</v>
      </c>
      <c r="B570" t="s">
        <v>253</v>
      </c>
      <c r="C570" t="s">
        <v>73</v>
      </c>
      <c r="D570" t="s">
        <v>43</v>
      </c>
      <c r="E570" t="s">
        <v>94</v>
      </c>
      <c r="F570" t="s">
        <v>37</v>
      </c>
      <c r="G570" t="s">
        <v>30</v>
      </c>
      <c r="H570">
        <v>1</v>
      </c>
      <c r="I570">
        <v>19200</v>
      </c>
      <c r="J570">
        <v>19200</v>
      </c>
      <c r="K570" t="s">
        <v>31</v>
      </c>
      <c r="L570" t="s">
        <v>22</v>
      </c>
      <c r="M570" t="b">
        <v>0</v>
      </c>
      <c r="N570" t="s">
        <v>23</v>
      </c>
    </row>
    <row r="571" spans="1:14" x14ac:dyDescent="0.35">
      <c r="A571" t="s">
        <v>805</v>
      </c>
      <c r="B571" t="s">
        <v>77</v>
      </c>
      <c r="C571" t="s">
        <v>26</v>
      </c>
      <c r="D571" t="s">
        <v>27</v>
      </c>
      <c r="E571" t="s">
        <v>18</v>
      </c>
      <c r="F571" t="s">
        <v>19</v>
      </c>
      <c r="G571" t="s">
        <v>20</v>
      </c>
      <c r="H571">
        <v>1</v>
      </c>
      <c r="I571">
        <v>22500</v>
      </c>
      <c r="J571">
        <v>22500</v>
      </c>
      <c r="K571" t="s">
        <v>46</v>
      </c>
      <c r="L571" t="s">
        <v>32</v>
      </c>
      <c r="M571" t="b">
        <v>1</v>
      </c>
      <c r="N571" t="s">
        <v>23</v>
      </c>
    </row>
    <row r="572" spans="1:14" x14ac:dyDescent="0.35">
      <c r="A572" t="s">
        <v>806</v>
      </c>
      <c r="B572" t="s">
        <v>291</v>
      </c>
      <c r="C572" t="s">
        <v>67</v>
      </c>
      <c r="D572" t="s">
        <v>59</v>
      </c>
      <c r="E572" t="s">
        <v>102</v>
      </c>
      <c r="F572" t="s">
        <v>29</v>
      </c>
      <c r="G572" t="s">
        <v>20</v>
      </c>
      <c r="H572">
        <v>1</v>
      </c>
      <c r="I572">
        <v>31500</v>
      </c>
      <c r="J572">
        <v>31500</v>
      </c>
      <c r="K572" t="s">
        <v>21</v>
      </c>
      <c r="L572" t="s">
        <v>32</v>
      </c>
      <c r="M572" t="b">
        <v>1</v>
      </c>
      <c r="N572" t="s">
        <v>33</v>
      </c>
    </row>
    <row r="573" spans="1:14" x14ac:dyDescent="0.35">
      <c r="A573" t="s">
        <v>807</v>
      </c>
      <c r="B573" t="s">
        <v>808</v>
      </c>
      <c r="C573" t="s">
        <v>58</v>
      </c>
      <c r="D573" t="s">
        <v>59</v>
      </c>
      <c r="E573" t="s">
        <v>18</v>
      </c>
      <c r="F573" t="s">
        <v>19</v>
      </c>
      <c r="G573" t="s">
        <v>30</v>
      </c>
      <c r="H573">
        <v>1</v>
      </c>
      <c r="I573">
        <v>23300</v>
      </c>
      <c r="J573">
        <v>23300</v>
      </c>
      <c r="K573" t="s">
        <v>38</v>
      </c>
      <c r="L573" t="s">
        <v>32</v>
      </c>
      <c r="M573" t="b">
        <v>1</v>
      </c>
      <c r="N573" t="s">
        <v>23</v>
      </c>
    </row>
    <row r="574" spans="1:14" x14ac:dyDescent="0.35">
      <c r="A574" t="s">
        <v>809</v>
      </c>
      <c r="B574" t="s">
        <v>231</v>
      </c>
      <c r="C574" t="s">
        <v>26</v>
      </c>
      <c r="D574" t="s">
        <v>27</v>
      </c>
      <c r="E574" t="s">
        <v>74</v>
      </c>
      <c r="F574" t="s">
        <v>75</v>
      </c>
      <c r="G574" t="s">
        <v>30</v>
      </c>
      <c r="H574">
        <v>1</v>
      </c>
      <c r="I574">
        <v>4300</v>
      </c>
      <c r="J574">
        <v>4300</v>
      </c>
      <c r="K574" t="s">
        <v>46</v>
      </c>
      <c r="L574" t="s">
        <v>47</v>
      </c>
      <c r="M574" t="b">
        <v>0</v>
      </c>
      <c r="N574" t="s">
        <v>23</v>
      </c>
    </row>
    <row r="575" spans="1:14" x14ac:dyDescent="0.35">
      <c r="A575" t="s">
        <v>810</v>
      </c>
      <c r="B575" t="s">
        <v>441</v>
      </c>
      <c r="C575" t="s">
        <v>16</v>
      </c>
      <c r="D575" t="s">
        <v>17</v>
      </c>
      <c r="E575" t="s">
        <v>80</v>
      </c>
      <c r="F575" t="s">
        <v>81</v>
      </c>
      <c r="G575" t="s">
        <v>30</v>
      </c>
      <c r="H575">
        <v>1</v>
      </c>
      <c r="I575">
        <v>12800</v>
      </c>
      <c r="J575">
        <v>12800</v>
      </c>
      <c r="K575" t="s">
        <v>38</v>
      </c>
      <c r="L575" t="s">
        <v>109</v>
      </c>
      <c r="M575" t="b">
        <v>1</v>
      </c>
      <c r="N575" t="s">
        <v>23</v>
      </c>
    </row>
    <row r="576" spans="1:14" x14ac:dyDescent="0.35">
      <c r="A576" t="s">
        <v>811</v>
      </c>
      <c r="B576" t="s">
        <v>473</v>
      </c>
      <c r="C576" t="s">
        <v>16</v>
      </c>
      <c r="D576" t="s">
        <v>17</v>
      </c>
      <c r="E576" t="s">
        <v>97</v>
      </c>
      <c r="F576" t="s">
        <v>29</v>
      </c>
      <c r="G576" t="s">
        <v>30</v>
      </c>
      <c r="H576">
        <v>1</v>
      </c>
      <c r="I576">
        <v>30600</v>
      </c>
      <c r="J576">
        <v>30600</v>
      </c>
      <c r="K576" t="s">
        <v>31</v>
      </c>
      <c r="L576" t="s">
        <v>22</v>
      </c>
      <c r="M576" t="b">
        <v>0</v>
      </c>
      <c r="N576" t="s">
        <v>33</v>
      </c>
    </row>
    <row r="577" spans="1:14" x14ac:dyDescent="0.35">
      <c r="A577" t="s">
        <v>812</v>
      </c>
      <c r="B577" t="s">
        <v>167</v>
      </c>
      <c r="C577" t="s">
        <v>16</v>
      </c>
      <c r="D577" t="s">
        <v>17</v>
      </c>
      <c r="E577" t="s">
        <v>102</v>
      </c>
      <c r="F577" t="s">
        <v>29</v>
      </c>
      <c r="G577" t="s">
        <v>30</v>
      </c>
      <c r="H577">
        <v>1</v>
      </c>
      <c r="I577">
        <v>28000</v>
      </c>
      <c r="J577">
        <v>28000</v>
      </c>
      <c r="K577" t="s">
        <v>31</v>
      </c>
      <c r="L577" t="s">
        <v>109</v>
      </c>
      <c r="M577" t="b">
        <v>1</v>
      </c>
      <c r="N577" t="s">
        <v>33</v>
      </c>
    </row>
    <row r="578" spans="1:14" x14ac:dyDescent="0.35">
      <c r="A578" t="s">
        <v>813</v>
      </c>
      <c r="B578" t="s">
        <v>226</v>
      </c>
      <c r="C578" t="s">
        <v>58</v>
      </c>
      <c r="D578" t="s">
        <v>59</v>
      </c>
      <c r="E578" t="s">
        <v>97</v>
      </c>
      <c r="F578" t="s">
        <v>29</v>
      </c>
      <c r="G578" t="s">
        <v>20</v>
      </c>
      <c r="H578">
        <v>1</v>
      </c>
      <c r="I578">
        <v>31300</v>
      </c>
      <c r="J578">
        <v>31300</v>
      </c>
      <c r="K578" t="s">
        <v>70</v>
      </c>
      <c r="L578" t="s">
        <v>47</v>
      </c>
      <c r="M578" t="b">
        <v>0</v>
      </c>
      <c r="N578" t="s">
        <v>33</v>
      </c>
    </row>
    <row r="579" spans="1:14" x14ac:dyDescent="0.35">
      <c r="A579" t="s">
        <v>814</v>
      </c>
      <c r="B579" t="s">
        <v>404</v>
      </c>
      <c r="C579" t="s">
        <v>67</v>
      </c>
      <c r="D579" t="s">
        <v>59</v>
      </c>
      <c r="E579" t="s">
        <v>120</v>
      </c>
      <c r="F579" t="s">
        <v>45</v>
      </c>
      <c r="G579" t="s">
        <v>30</v>
      </c>
      <c r="H579">
        <v>1</v>
      </c>
      <c r="I579">
        <v>53300</v>
      </c>
      <c r="J579">
        <v>53300</v>
      </c>
      <c r="K579" t="s">
        <v>70</v>
      </c>
      <c r="L579" t="s">
        <v>32</v>
      </c>
      <c r="M579" t="b">
        <v>1</v>
      </c>
      <c r="N579" t="s">
        <v>33</v>
      </c>
    </row>
    <row r="580" spans="1:14" x14ac:dyDescent="0.35">
      <c r="A580" t="s">
        <v>815</v>
      </c>
      <c r="B580" t="s">
        <v>692</v>
      </c>
      <c r="C580" t="s">
        <v>16</v>
      </c>
      <c r="D580" t="s">
        <v>17</v>
      </c>
      <c r="E580" t="s">
        <v>80</v>
      </c>
      <c r="F580" t="s">
        <v>81</v>
      </c>
      <c r="G580" t="s">
        <v>20</v>
      </c>
      <c r="H580">
        <v>1</v>
      </c>
      <c r="I580">
        <v>12900</v>
      </c>
      <c r="J580">
        <v>12900</v>
      </c>
      <c r="K580" t="s">
        <v>21</v>
      </c>
      <c r="L580" t="s">
        <v>109</v>
      </c>
      <c r="M580" t="b">
        <v>1</v>
      </c>
      <c r="N580" t="s">
        <v>23</v>
      </c>
    </row>
    <row r="581" spans="1:14" x14ac:dyDescent="0.35">
      <c r="A581" t="s">
        <v>816</v>
      </c>
      <c r="B581" t="s">
        <v>270</v>
      </c>
      <c r="C581" t="s">
        <v>65</v>
      </c>
      <c r="D581" t="s">
        <v>27</v>
      </c>
      <c r="E581" t="s">
        <v>74</v>
      </c>
      <c r="F581" t="s">
        <v>75</v>
      </c>
      <c r="G581" t="s">
        <v>20</v>
      </c>
      <c r="H581">
        <v>2</v>
      </c>
      <c r="I581">
        <v>4800</v>
      </c>
      <c r="J581">
        <v>9600</v>
      </c>
      <c r="K581" t="s">
        <v>54</v>
      </c>
      <c r="L581" t="s">
        <v>55</v>
      </c>
      <c r="M581" t="b">
        <v>0</v>
      </c>
      <c r="N581" t="s">
        <v>23</v>
      </c>
    </row>
    <row r="582" spans="1:14" x14ac:dyDescent="0.35">
      <c r="A582" t="s">
        <v>817</v>
      </c>
      <c r="B582" t="s">
        <v>274</v>
      </c>
      <c r="C582" t="s">
        <v>65</v>
      </c>
      <c r="D582" t="s">
        <v>27</v>
      </c>
      <c r="E582" t="s">
        <v>97</v>
      </c>
      <c r="F582" t="s">
        <v>29</v>
      </c>
      <c r="G582" t="s">
        <v>30</v>
      </c>
      <c r="H582">
        <v>1</v>
      </c>
      <c r="I582">
        <v>33700</v>
      </c>
      <c r="J582">
        <v>33700</v>
      </c>
      <c r="K582" t="s">
        <v>54</v>
      </c>
      <c r="L582" t="s">
        <v>109</v>
      </c>
      <c r="M582" t="b">
        <v>1</v>
      </c>
      <c r="N582" t="s">
        <v>33</v>
      </c>
    </row>
    <row r="583" spans="1:14" x14ac:dyDescent="0.35">
      <c r="A583" t="s">
        <v>818</v>
      </c>
      <c r="B583" t="s">
        <v>150</v>
      </c>
      <c r="C583" t="s">
        <v>42</v>
      </c>
      <c r="D583" t="s">
        <v>43</v>
      </c>
      <c r="E583" t="s">
        <v>60</v>
      </c>
      <c r="F583" t="s">
        <v>53</v>
      </c>
      <c r="G583" t="s">
        <v>20</v>
      </c>
      <c r="H583">
        <v>3</v>
      </c>
      <c r="I583">
        <v>7300</v>
      </c>
      <c r="J583">
        <v>21900</v>
      </c>
      <c r="K583" t="s">
        <v>70</v>
      </c>
      <c r="L583" t="s">
        <v>88</v>
      </c>
      <c r="M583" t="b">
        <v>0</v>
      </c>
      <c r="N583" t="s">
        <v>23</v>
      </c>
    </row>
    <row r="584" spans="1:14" x14ac:dyDescent="0.35">
      <c r="A584" t="s">
        <v>819</v>
      </c>
      <c r="B584" t="s">
        <v>658</v>
      </c>
      <c r="C584" t="s">
        <v>67</v>
      </c>
      <c r="D584" t="s">
        <v>59</v>
      </c>
      <c r="E584" t="s">
        <v>60</v>
      </c>
      <c r="F584" t="s">
        <v>53</v>
      </c>
      <c r="G584" t="s">
        <v>20</v>
      </c>
      <c r="H584">
        <v>2</v>
      </c>
      <c r="I584">
        <v>6300</v>
      </c>
      <c r="J584">
        <v>12600</v>
      </c>
      <c r="K584" t="s">
        <v>38</v>
      </c>
      <c r="L584" t="s">
        <v>39</v>
      </c>
      <c r="M584" t="b">
        <v>0</v>
      </c>
      <c r="N584" t="s">
        <v>23</v>
      </c>
    </row>
    <row r="585" spans="1:14" x14ac:dyDescent="0.35">
      <c r="A585" t="s">
        <v>820</v>
      </c>
      <c r="B585" t="s">
        <v>106</v>
      </c>
      <c r="C585" t="s">
        <v>42</v>
      </c>
      <c r="D585" t="s">
        <v>43</v>
      </c>
      <c r="E585" t="s">
        <v>52</v>
      </c>
      <c r="F585" t="s">
        <v>53</v>
      </c>
      <c r="G585" t="s">
        <v>20</v>
      </c>
      <c r="H585">
        <v>3</v>
      </c>
      <c r="I585">
        <v>9200</v>
      </c>
      <c r="J585">
        <v>27600</v>
      </c>
      <c r="K585" t="s">
        <v>21</v>
      </c>
      <c r="L585" t="s">
        <v>22</v>
      </c>
      <c r="M585" t="b">
        <v>0</v>
      </c>
      <c r="N585" t="s">
        <v>23</v>
      </c>
    </row>
    <row r="586" spans="1:14" x14ac:dyDescent="0.35">
      <c r="A586" t="s">
        <v>821</v>
      </c>
      <c r="B586" t="s">
        <v>234</v>
      </c>
      <c r="C586" t="s">
        <v>67</v>
      </c>
      <c r="D586" t="s">
        <v>59</v>
      </c>
      <c r="E586" t="s">
        <v>97</v>
      </c>
      <c r="F586" t="s">
        <v>29</v>
      </c>
      <c r="G586" t="s">
        <v>30</v>
      </c>
      <c r="H586">
        <v>1</v>
      </c>
      <c r="I586">
        <v>31300</v>
      </c>
      <c r="J586">
        <v>31300</v>
      </c>
      <c r="K586" t="s">
        <v>21</v>
      </c>
      <c r="L586" t="s">
        <v>47</v>
      </c>
      <c r="M586" t="b">
        <v>0</v>
      </c>
      <c r="N586" t="s">
        <v>33</v>
      </c>
    </row>
    <row r="587" spans="1:14" x14ac:dyDescent="0.35">
      <c r="A587" t="s">
        <v>822</v>
      </c>
      <c r="B587" t="s">
        <v>272</v>
      </c>
      <c r="C587" t="s">
        <v>65</v>
      </c>
      <c r="D587" t="s">
        <v>27</v>
      </c>
      <c r="E587" t="s">
        <v>18</v>
      </c>
      <c r="F587" t="s">
        <v>19</v>
      </c>
      <c r="G587" t="s">
        <v>30</v>
      </c>
      <c r="H587">
        <v>1</v>
      </c>
      <c r="I587">
        <v>22400</v>
      </c>
      <c r="J587">
        <v>22400</v>
      </c>
      <c r="K587" t="s">
        <v>21</v>
      </c>
      <c r="L587" t="s">
        <v>109</v>
      </c>
      <c r="M587" t="b">
        <v>1</v>
      </c>
      <c r="N587" t="s">
        <v>23</v>
      </c>
    </row>
    <row r="588" spans="1:14" x14ac:dyDescent="0.35">
      <c r="A588" t="s">
        <v>823</v>
      </c>
      <c r="B588" t="s">
        <v>787</v>
      </c>
      <c r="C588" t="s">
        <v>26</v>
      </c>
      <c r="D588" t="s">
        <v>27</v>
      </c>
      <c r="E588" t="s">
        <v>28</v>
      </c>
      <c r="F588" t="s">
        <v>29</v>
      </c>
      <c r="G588" t="s">
        <v>20</v>
      </c>
      <c r="H588">
        <v>1</v>
      </c>
      <c r="I588">
        <v>123100</v>
      </c>
      <c r="J588">
        <v>123100</v>
      </c>
      <c r="K588" t="s">
        <v>54</v>
      </c>
      <c r="L588" t="s">
        <v>32</v>
      </c>
      <c r="M588" t="b">
        <v>1</v>
      </c>
      <c r="N588" t="s">
        <v>33</v>
      </c>
    </row>
    <row r="589" spans="1:14" x14ac:dyDescent="0.35">
      <c r="A589" t="s">
        <v>824</v>
      </c>
      <c r="B589" t="s">
        <v>99</v>
      </c>
      <c r="C589" t="s">
        <v>50</v>
      </c>
      <c r="D589" t="s">
        <v>51</v>
      </c>
      <c r="E589" t="s">
        <v>60</v>
      </c>
      <c r="F589" t="s">
        <v>53</v>
      </c>
      <c r="G589" t="s">
        <v>30</v>
      </c>
      <c r="H589">
        <v>2</v>
      </c>
      <c r="I589">
        <v>6700</v>
      </c>
      <c r="J589">
        <v>13400</v>
      </c>
      <c r="K589" t="s">
        <v>46</v>
      </c>
      <c r="L589" t="s">
        <v>88</v>
      </c>
      <c r="M589" t="b">
        <v>0</v>
      </c>
      <c r="N589" t="s">
        <v>23</v>
      </c>
    </row>
    <row r="590" spans="1:14" x14ac:dyDescent="0.35">
      <c r="A590" t="s">
        <v>825</v>
      </c>
      <c r="B590" t="s">
        <v>192</v>
      </c>
      <c r="C590" t="s">
        <v>16</v>
      </c>
      <c r="D590" t="s">
        <v>17</v>
      </c>
      <c r="E590" t="s">
        <v>94</v>
      </c>
      <c r="F590" t="s">
        <v>37</v>
      </c>
      <c r="G590" t="s">
        <v>20</v>
      </c>
      <c r="H590">
        <v>1</v>
      </c>
      <c r="I590">
        <v>17600</v>
      </c>
      <c r="J590">
        <v>17600</v>
      </c>
      <c r="K590" t="s">
        <v>38</v>
      </c>
      <c r="L590" t="s">
        <v>32</v>
      </c>
      <c r="M590" t="b">
        <v>1</v>
      </c>
      <c r="N590" t="s">
        <v>23</v>
      </c>
    </row>
    <row r="591" spans="1:14" x14ac:dyDescent="0.35">
      <c r="A591" t="s">
        <v>826</v>
      </c>
      <c r="B591" t="s">
        <v>111</v>
      </c>
      <c r="C591" t="s">
        <v>73</v>
      </c>
      <c r="D591" t="s">
        <v>43</v>
      </c>
      <c r="E591" t="s">
        <v>80</v>
      </c>
      <c r="F591" t="s">
        <v>81</v>
      </c>
      <c r="G591" t="s">
        <v>30</v>
      </c>
      <c r="H591">
        <v>1</v>
      </c>
      <c r="I591">
        <v>12400</v>
      </c>
      <c r="J591">
        <v>12400</v>
      </c>
      <c r="K591" t="s">
        <v>31</v>
      </c>
      <c r="L591" t="s">
        <v>22</v>
      </c>
      <c r="M591" t="b">
        <v>0</v>
      </c>
      <c r="N591" t="s">
        <v>23</v>
      </c>
    </row>
    <row r="592" spans="1:14" x14ac:dyDescent="0.35">
      <c r="A592" t="s">
        <v>827</v>
      </c>
      <c r="B592" t="s">
        <v>79</v>
      </c>
      <c r="C592" t="s">
        <v>73</v>
      </c>
      <c r="D592" t="s">
        <v>43</v>
      </c>
      <c r="E592" t="s">
        <v>74</v>
      </c>
      <c r="F592" t="s">
        <v>75</v>
      </c>
      <c r="G592" t="s">
        <v>30</v>
      </c>
      <c r="H592">
        <v>4</v>
      </c>
      <c r="I592">
        <v>4700</v>
      </c>
      <c r="J592">
        <v>18800</v>
      </c>
      <c r="K592" t="s">
        <v>21</v>
      </c>
      <c r="L592" t="s">
        <v>39</v>
      </c>
      <c r="M592" t="b">
        <v>0</v>
      </c>
      <c r="N592" t="s">
        <v>23</v>
      </c>
    </row>
    <row r="593" spans="1:14" x14ac:dyDescent="0.35">
      <c r="A593" t="s">
        <v>828</v>
      </c>
      <c r="B593" t="s">
        <v>35</v>
      </c>
      <c r="C593" t="s">
        <v>16</v>
      </c>
      <c r="D593" t="s">
        <v>17</v>
      </c>
      <c r="E593" t="s">
        <v>60</v>
      </c>
      <c r="F593" t="s">
        <v>53</v>
      </c>
      <c r="G593" t="s">
        <v>30</v>
      </c>
      <c r="H593">
        <v>1</v>
      </c>
      <c r="I593">
        <v>6700</v>
      </c>
      <c r="J593">
        <v>6700</v>
      </c>
      <c r="K593" t="s">
        <v>38</v>
      </c>
      <c r="L593" t="s">
        <v>39</v>
      </c>
      <c r="M593" t="b">
        <v>0</v>
      </c>
      <c r="N593" t="s">
        <v>23</v>
      </c>
    </row>
    <row r="594" spans="1:14" x14ac:dyDescent="0.35">
      <c r="A594" t="s">
        <v>829</v>
      </c>
      <c r="B594" t="s">
        <v>150</v>
      </c>
      <c r="C594" t="s">
        <v>26</v>
      </c>
      <c r="D594" t="s">
        <v>27</v>
      </c>
      <c r="E594" t="s">
        <v>36</v>
      </c>
      <c r="F594" t="s">
        <v>37</v>
      </c>
      <c r="G594" t="s">
        <v>20</v>
      </c>
      <c r="H594">
        <v>1</v>
      </c>
      <c r="I594">
        <v>40100</v>
      </c>
      <c r="J594">
        <v>40100</v>
      </c>
      <c r="K594" t="s">
        <v>70</v>
      </c>
      <c r="L594" t="s">
        <v>88</v>
      </c>
      <c r="M594" t="b">
        <v>0</v>
      </c>
      <c r="N594" t="s">
        <v>33</v>
      </c>
    </row>
    <row r="595" spans="1:14" x14ac:dyDescent="0.35">
      <c r="A595" t="s">
        <v>830</v>
      </c>
      <c r="B595" t="s">
        <v>83</v>
      </c>
      <c r="C595" t="s">
        <v>26</v>
      </c>
      <c r="D595" t="s">
        <v>27</v>
      </c>
      <c r="E595" t="s">
        <v>94</v>
      </c>
      <c r="F595" t="s">
        <v>37</v>
      </c>
      <c r="G595" t="s">
        <v>30</v>
      </c>
      <c r="H595">
        <v>1</v>
      </c>
      <c r="I595">
        <v>18400</v>
      </c>
      <c r="J595">
        <v>18400</v>
      </c>
      <c r="K595" t="s">
        <v>21</v>
      </c>
      <c r="L595" t="s">
        <v>47</v>
      </c>
      <c r="M595" t="b">
        <v>0</v>
      </c>
      <c r="N595" t="s">
        <v>23</v>
      </c>
    </row>
    <row r="596" spans="1:14" x14ac:dyDescent="0.35">
      <c r="A596" t="s">
        <v>831</v>
      </c>
      <c r="B596" t="s">
        <v>134</v>
      </c>
      <c r="C596" t="s">
        <v>42</v>
      </c>
      <c r="D596" t="s">
        <v>43</v>
      </c>
      <c r="E596" t="s">
        <v>97</v>
      </c>
      <c r="F596" t="s">
        <v>29</v>
      </c>
      <c r="G596" t="s">
        <v>30</v>
      </c>
      <c r="H596">
        <v>3</v>
      </c>
      <c r="I596">
        <v>29900</v>
      </c>
      <c r="J596">
        <v>89700</v>
      </c>
      <c r="K596" t="s">
        <v>54</v>
      </c>
      <c r="L596" t="s">
        <v>109</v>
      </c>
      <c r="M596" t="b">
        <v>1</v>
      </c>
      <c r="N596" t="s">
        <v>33</v>
      </c>
    </row>
    <row r="597" spans="1:14" x14ac:dyDescent="0.35">
      <c r="A597" t="s">
        <v>832</v>
      </c>
      <c r="B597" t="s">
        <v>808</v>
      </c>
      <c r="C597" t="s">
        <v>26</v>
      </c>
      <c r="D597" t="s">
        <v>27</v>
      </c>
      <c r="E597" t="s">
        <v>94</v>
      </c>
      <c r="F597" t="s">
        <v>37</v>
      </c>
      <c r="G597" t="s">
        <v>30</v>
      </c>
      <c r="H597">
        <v>1</v>
      </c>
      <c r="I597">
        <v>17800</v>
      </c>
      <c r="J597">
        <v>17800</v>
      </c>
      <c r="K597" t="s">
        <v>38</v>
      </c>
      <c r="L597" t="s">
        <v>32</v>
      </c>
      <c r="M597" t="b">
        <v>1</v>
      </c>
      <c r="N597" t="s">
        <v>23</v>
      </c>
    </row>
    <row r="598" spans="1:14" x14ac:dyDescent="0.35">
      <c r="A598" t="s">
        <v>833</v>
      </c>
      <c r="B598" t="s">
        <v>714</v>
      </c>
      <c r="C598" t="s">
        <v>16</v>
      </c>
      <c r="D598" t="s">
        <v>17</v>
      </c>
      <c r="E598" t="s">
        <v>28</v>
      </c>
      <c r="F598" t="s">
        <v>29</v>
      </c>
      <c r="G598" t="s">
        <v>30</v>
      </c>
      <c r="H598">
        <v>2</v>
      </c>
      <c r="I598">
        <v>117400</v>
      </c>
      <c r="J598">
        <v>234800</v>
      </c>
      <c r="K598" t="s">
        <v>46</v>
      </c>
      <c r="L598" t="s">
        <v>55</v>
      </c>
      <c r="M598" t="b">
        <v>0</v>
      </c>
      <c r="N598" t="s">
        <v>33</v>
      </c>
    </row>
    <row r="599" spans="1:14" x14ac:dyDescent="0.35">
      <c r="A599" t="s">
        <v>834</v>
      </c>
      <c r="B599" t="s">
        <v>725</v>
      </c>
      <c r="C599" t="s">
        <v>73</v>
      </c>
      <c r="D599" t="s">
        <v>43</v>
      </c>
      <c r="E599" t="s">
        <v>120</v>
      </c>
      <c r="F599" t="s">
        <v>45</v>
      </c>
      <c r="G599" t="s">
        <v>30</v>
      </c>
      <c r="H599">
        <v>1</v>
      </c>
      <c r="I599">
        <v>57200</v>
      </c>
      <c r="J599">
        <v>57200</v>
      </c>
      <c r="K599" t="s">
        <v>46</v>
      </c>
      <c r="L599" t="s">
        <v>109</v>
      </c>
      <c r="M599" t="b">
        <v>1</v>
      </c>
      <c r="N599" t="s">
        <v>33</v>
      </c>
    </row>
    <row r="600" spans="1:14" x14ac:dyDescent="0.35">
      <c r="A600" t="s">
        <v>835</v>
      </c>
      <c r="B600" t="s">
        <v>354</v>
      </c>
      <c r="C600" t="s">
        <v>67</v>
      </c>
      <c r="D600" t="s">
        <v>59</v>
      </c>
      <c r="E600" t="s">
        <v>44</v>
      </c>
      <c r="F600" t="s">
        <v>45</v>
      </c>
      <c r="G600" t="s">
        <v>30</v>
      </c>
      <c r="H600">
        <v>1</v>
      </c>
      <c r="I600">
        <v>25600</v>
      </c>
      <c r="J600">
        <v>25600</v>
      </c>
      <c r="K600" t="s">
        <v>31</v>
      </c>
      <c r="L600" t="s">
        <v>109</v>
      </c>
      <c r="M600" t="b">
        <v>1</v>
      </c>
      <c r="N600" t="s">
        <v>23</v>
      </c>
    </row>
    <row r="601" spans="1:14" x14ac:dyDescent="0.35">
      <c r="A601" t="s">
        <v>836</v>
      </c>
      <c r="B601" t="s">
        <v>170</v>
      </c>
      <c r="C601" t="s">
        <v>58</v>
      </c>
      <c r="D601" t="s">
        <v>59</v>
      </c>
      <c r="E601" t="s">
        <v>80</v>
      </c>
      <c r="F601" t="s">
        <v>81</v>
      </c>
      <c r="G601" t="s">
        <v>30</v>
      </c>
      <c r="H601">
        <v>1</v>
      </c>
      <c r="I601">
        <v>11700</v>
      </c>
      <c r="J601">
        <v>11700</v>
      </c>
      <c r="K601" t="s">
        <v>46</v>
      </c>
      <c r="L601" t="s">
        <v>109</v>
      </c>
      <c r="M601" t="b">
        <v>1</v>
      </c>
      <c r="N601" t="s">
        <v>23</v>
      </c>
    </row>
    <row r="602" spans="1:14" x14ac:dyDescent="0.35">
      <c r="A602" t="s">
        <v>837</v>
      </c>
      <c r="B602" t="s">
        <v>371</v>
      </c>
      <c r="C602" t="s">
        <v>26</v>
      </c>
      <c r="D602" t="s">
        <v>27</v>
      </c>
      <c r="E602" t="s">
        <v>102</v>
      </c>
      <c r="F602" t="s">
        <v>29</v>
      </c>
      <c r="G602" t="s">
        <v>20</v>
      </c>
      <c r="H602">
        <v>1</v>
      </c>
      <c r="I602">
        <v>29800</v>
      </c>
      <c r="J602">
        <v>29800</v>
      </c>
      <c r="K602" t="s">
        <v>46</v>
      </c>
      <c r="L602" t="s">
        <v>109</v>
      </c>
      <c r="M602" t="b">
        <v>1</v>
      </c>
      <c r="N602" t="s">
        <v>33</v>
      </c>
    </row>
    <row r="603" spans="1:14" x14ac:dyDescent="0.35">
      <c r="A603" t="s">
        <v>838</v>
      </c>
      <c r="B603" t="s">
        <v>379</v>
      </c>
      <c r="C603" t="s">
        <v>73</v>
      </c>
      <c r="D603" t="s">
        <v>43</v>
      </c>
      <c r="E603" t="s">
        <v>80</v>
      </c>
      <c r="F603" t="s">
        <v>81</v>
      </c>
      <c r="G603" t="s">
        <v>30</v>
      </c>
      <c r="H603">
        <v>1</v>
      </c>
      <c r="I603">
        <v>12700</v>
      </c>
      <c r="J603">
        <v>12700</v>
      </c>
      <c r="K603" t="s">
        <v>38</v>
      </c>
      <c r="L603" t="s">
        <v>55</v>
      </c>
      <c r="M603" t="b">
        <v>0</v>
      </c>
      <c r="N603" t="s">
        <v>23</v>
      </c>
    </row>
    <row r="604" spans="1:14" x14ac:dyDescent="0.35">
      <c r="A604" t="s">
        <v>839</v>
      </c>
      <c r="B604" t="s">
        <v>220</v>
      </c>
      <c r="C604" t="s">
        <v>50</v>
      </c>
      <c r="D604" t="s">
        <v>51</v>
      </c>
      <c r="E604" t="s">
        <v>60</v>
      </c>
      <c r="F604" t="s">
        <v>53</v>
      </c>
      <c r="G604" t="s">
        <v>30</v>
      </c>
      <c r="H604">
        <v>2</v>
      </c>
      <c r="I604">
        <v>6800</v>
      </c>
      <c r="J604">
        <v>13600</v>
      </c>
      <c r="K604" t="s">
        <v>70</v>
      </c>
      <c r="L604" t="s">
        <v>109</v>
      </c>
      <c r="M604" t="b">
        <v>1</v>
      </c>
      <c r="N604" t="s">
        <v>23</v>
      </c>
    </row>
    <row r="605" spans="1:14" x14ac:dyDescent="0.35">
      <c r="A605" t="s">
        <v>840</v>
      </c>
      <c r="B605" t="s">
        <v>701</v>
      </c>
      <c r="C605" t="s">
        <v>16</v>
      </c>
      <c r="D605" t="s">
        <v>17</v>
      </c>
      <c r="E605" t="s">
        <v>52</v>
      </c>
      <c r="F605" t="s">
        <v>53</v>
      </c>
      <c r="G605" t="s">
        <v>20</v>
      </c>
      <c r="H605">
        <v>2</v>
      </c>
      <c r="I605">
        <v>8600</v>
      </c>
      <c r="J605">
        <v>17200</v>
      </c>
      <c r="K605" t="s">
        <v>38</v>
      </c>
      <c r="L605" t="s">
        <v>47</v>
      </c>
      <c r="M605" t="b">
        <v>0</v>
      </c>
      <c r="N605" t="s">
        <v>23</v>
      </c>
    </row>
    <row r="606" spans="1:14" x14ac:dyDescent="0.35">
      <c r="A606" t="s">
        <v>841</v>
      </c>
      <c r="B606" t="s">
        <v>603</v>
      </c>
      <c r="C606" t="s">
        <v>67</v>
      </c>
      <c r="D606" t="s">
        <v>59</v>
      </c>
      <c r="E606" t="s">
        <v>18</v>
      </c>
      <c r="F606" t="s">
        <v>19</v>
      </c>
      <c r="G606" t="s">
        <v>30</v>
      </c>
      <c r="H606">
        <v>5</v>
      </c>
      <c r="I606">
        <v>23700</v>
      </c>
      <c r="J606">
        <v>118500</v>
      </c>
      <c r="K606" t="s">
        <v>21</v>
      </c>
      <c r="L606" t="s">
        <v>55</v>
      </c>
      <c r="M606" t="b">
        <v>0</v>
      </c>
      <c r="N606" t="s">
        <v>23</v>
      </c>
    </row>
    <row r="607" spans="1:14" x14ac:dyDescent="0.35">
      <c r="A607" t="s">
        <v>842</v>
      </c>
      <c r="B607" t="s">
        <v>388</v>
      </c>
      <c r="C607" t="s">
        <v>58</v>
      </c>
      <c r="D607" t="s">
        <v>59</v>
      </c>
      <c r="E607" t="s">
        <v>36</v>
      </c>
      <c r="F607" t="s">
        <v>37</v>
      </c>
      <c r="G607" t="s">
        <v>30</v>
      </c>
      <c r="H607">
        <v>1</v>
      </c>
      <c r="I607">
        <v>44500</v>
      </c>
      <c r="J607">
        <v>44500</v>
      </c>
      <c r="K607" t="s">
        <v>38</v>
      </c>
      <c r="L607" t="s">
        <v>109</v>
      </c>
      <c r="M607" t="b">
        <v>1</v>
      </c>
      <c r="N607" t="s">
        <v>33</v>
      </c>
    </row>
    <row r="608" spans="1:14" x14ac:dyDescent="0.35">
      <c r="A608" t="s">
        <v>843</v>
      </c>
      <c r="B608" t="s">
        <v>260</v>
      </c>
      <c r="C608" t="s">
        <v>50</v>
      </c>
      <c r="D608" t="s">
        <v>51</v>
      </c>
      <c r="E608" t="s">
        <v>80</v>
      </c>
      <c r="F608" t="s">
        <v>81</v>
      </c>
      <c r="G608" t="s">
        <v>30</v>
      </c>
      <c r="H608">
        <v>5</v>
      </c>
      <c r="I608">
        <v>12500</v>
      </c>
      <c r="J608">
        <v>62500</v>
      </c>
      <c r="K608" t="s">
        <v>31</v>
      </c>
      <c r="L608" t="s">
        <v>55</v>
      </c>
      <c r="M608" t="b">
        <v>0</v>
      </c>
      <c r="N608" t="s">
        <v>23</v>
      </c>
    </row>
    <row r="609" spans="1:14" x14ac:dyDescent="0.35">
      <c r="A609" t="s">
        <v>844</v>
      </c>
      <c r="B609" t="s">
        <v>305</v>
      </c>
      <c r="C609" t="s">
        <v>58</v>
      </c>
      <c r="D609" t="s">
        <v>59</v>
      </c>
      <c r="E609" t="s">
        <v>120</v>
      </c>
      <c r="F609" t="s">
        <v>45</v>
      </c>
      <c r="G609" t="s">
        <v>30</v>
      </c>
      <c r="H609">
        <v>2</v>
      </c>
      <c r="I609">
        <v>54100</v>
      </c>
      <c r="J609">
        <v>108200</v>
      </c>
      <c r="K609" t="s">
        <v>21</v>
      </c>
      <c r="L609" t="s">
        <v>55</v>
      </c>
      <c r="M609" t="b">
        <v>0</v>
      </c>
      <c r="N609" t="s">
        <v>33</v>
      </c>
    </row>
    <row r="610" spans="1:14" x14ac:dyDescent="0.35">
      <c r="A610" t="s">
        <v>845</v>
      </c>
      <c r="B610" t="s">
        <v>725</v>
      </c>
      <c r="C610" t="s">
        <v>67</v>
      </c>
      <c r="D610" t="s">
        <v>59</v>
      </c>
      <c r="E610" t="s">
        <v>60</v>
      </c>
      <c r="F610" t="s">
        <v>53</v>
      </c>
      <c r="G610" t="s">
        <v>20</v>
      </c>
      <c r="H610">
        <v>1</v>
      </c>
      <c r="I610">
        <v>7100</v>
      </c>
      <c r="J610">
        <v>7100</v>
      </c>
      <c r="K610" t="s">
        <v>46</v>
      </c>
      <c r="L610" t="s">
        <v>109</v>
      </c>
      <c r="M610" t="b">
        <v>1</v>
      </c>
      <c r="N610" t="s">
        <v>23</v>
      </c>
    </row>
    <row r="611" spans="1:14" x14ac:dyDescent="0.35">
      <c r="A611" t="s">
        <v>846</v>
      </c>
      <c r="B611" t="s">
        <v>847</v>
      </c>
      <c r="C611" t="s">
        <v>16</v>
      </c>
      <c r="D611" t="s">
        <v>17</v>
      </c>
      <c r="E611" t="s">
        <v>28</v>
      </c>
      <c r="F611" t="s">
        <v>29</v>
      </c>
      <c r="G611" t="s">
        <v>30</v>
      </c>
      <c r="H611">
        <v>1</v>
      </c>
      <c r="I611">
        <v>120500</v>
      </c>
      <c r="J611">
        <v>120500</v>
      </c>
      <c r="K611" t="s">
        <v>46</v>
      </c>
      <c r="L611" t="s">
        <v>22</v>
      </c>
      <c r="M611" t="b">
        <v>0</v>
      </c>
      <c r="N611" t="s">
        <v>33</v>
      </c>
    </row>
    <row r="612" spans="1:14" x14ac:dyDescent="0.35">
      <c r="A612" t="s">
        <v>848</v>
      </c>
      <c r="B612" t="s">
        <v>680</v>
      </c>
      <c r="C612" t="s">
        <v>73</v>
      </c>
      <c r="D612" t="s">
        <v>43</v>
      </c>
      <c r="E612" t="s">
        <v>97</v>
      </c>
      <c r="F612" t="s">
        <v>29</v>
      </c>
      <c r="G612" t="s">
        <v>30</v>
      </c>
      <c r="H612">
        <v>1</v>
      </c>
      <c r="I612">
        <v>29500</v>
      </c>
      <c r="J612">
        <v>29500</v>
      </c>
      <c r="K612" t="s">
        <v>38</v>
      </c>
      <c r="L612" t="s">
        <v>88</v>
      </c>
      <c r="M612" t="b">
        <v>0</v>
      </c>
      <c r="N612" t="s">
        <v>33</v>
      </c>
    </row>
    <row r="613" spans="1:14" x14ac:dyDescent="0.35">
      <c r="A613" t="s">
        <v>849</v>
      </c>
      <c r="B613" t="s">
        <v>662</v>
      </c>
      <c r="C613" t="s">
        <v>16</v>
      </c>
      <c r="D613" t="s">
        <v>17</v>
      </c>
      <c r="E613" t="s">
        <v>97</v>
      </c>
      <c r="F613" t="s">
        <v>29</v>
      </c>
      <c r="G613" t="s">
        <v>20</v>
      </c>
      <c r="H613">
        <v>1</v>
      </c>
      <c r="I613">
        <v>32400</v>
      </c>
      <c r="J613">
        <v>32400</v>
      </c>
      <c r="K613" t="s">
        <v>21</v>
      </c>
      <c r="L613" t="s">
        <v>39</v>
      </c>
      <c r="M613" t="b">
        <v>0</v>
      </c>
      <c r="N613" t="s">
        <v>33</v>
      </c>
    </row>
    <row r="614" spans="1:14" x14ac:dyDescent="0.35">
      <c r="A614" t="s">
        <v>850</v>
      </c>
      <c r="B614" t="s">
        <v>418</v>
      </c>
      <c r="C614" t="s">
        <v>58</v>
      </c>
      <c r="D614" t="s">
        <v>59</v>
      </c>
      <c r="E614" t="s">
        <v>36</v>
      </c>
      <c r="F614" t="s">
        <v>37</v>
      </c>
      <c r="G614" t="s">
        <v>20</v>
      </c>
      <c r="H614">
        <v>2</v>
      </c>
      <c r="I614">
        <v>42700</v>
      </c>
      <c r="J614">
        <v>85400</v>
      </c>
      <c r="K614" t="s">
        <v>38</v>
      </c>
      <c r="L614" t="s">
        <v>22</v>
      </c>
      <c r="M614" t="b">
        <v>0</v>
      </c>
      <c r="N614" t="s">
        <v>33</v>
      </c>
    </row>
    <row r="615" spans="1:14" x14ac:dyDescent="0.35">
      <c r="A615" t="s">
        <v>851</v>
      </c>
      <c r="B615" t="s">
        <v>35</v>
      </c>
      <c r="C615" t="s">
        <v>50</v>
      </c>
      <c r="D615" t="s">
        <v>51</v>
      </c>
      <c r="E615" t="s">
        <v>120</v>
      </c>
      <c r="F615" t="s">
        <v>45</v>
      </c>
      <c r="G615" t="s">
        <v>30</v>
      </c>
      <c r="H615">
        <v>1</v>
      </c>
      <c r="I615">
        <v>53500</v>
      </c>
      <c r="J615">
        <v>53500</v>
      </c>
      <c r="K615" t="s">
        <v>38</v>
      </c>
      <c r="L615" t="s">
        <v>39</v>
      </c>
      <c r="M615" t="b">
        <v>0</v>
      </c>
      <c r="N615" t="s">
        <v>33</v>
      </c>
    </row>
    <row r="616" spans="1:14" x14ac:dyDescent="0.35">
      <c r="A616" t="s">
        <v>852</v>
      </c>
      <c r="B616" t="s">
        <v>111</v>
      </c>
      <c r="C616" t="s">
        <v>42</v>
      </c>
      <c r="D616" t="s">
        <v>43</v>
      </c>
      <c r="E616" t="s">
        <v>120</v>
      </c>
      <c r="F616" t="s">
        <v>45</v>
      </c>
      <c r="G616" t="s">
        <v>30</v>
      </c>
      <c r="H616">
        <v>2</v>
      </c>
      <c r="I616">
        <v>57500</v>
      </c>
      <c r="J616">
        <v>115000</v>
      </c>
      <c r="K616" t="s">
        <v>31</v>
      </c>
      <c r="L616" t="s">
        <v>22</v>
      </c>
      <c r="M616" t="b">
        <v>0</v>
      </c>
      <c r="N616" t="s">
        <v>33</v>
      </c>
    </row>
    <row r="617" spans="1:14" x14ac:dyDescent="0.35">
      <c r="A617" t="s">
        <v>853</v>
      </c>
      <c r="B617" t="s">
        <v>214</v>
      </c>
      <c r="C617" t="s">
        <v>73</v>
      </c>
      <c r="D617" t="s">
        <v>43</v>
      </c>
      <c r="E617" t="s">
        <v>52</v>
      </c>
      <c r="F617" t="s">
        <v>53</v>
      </c>
      <c r="G617" t="s">
        <v>30</v>
      </c>
      <c r="H617">
        <v>5</v>
      </c>
      <c r="I617">
        <v>8000</v>
      </c>
      <c r="J617">
        <v>40000</v>
      </c>
      <c r="K617" t="s">
        <v>31</v>
      </c>
      <c r="L617" t="s">
        <v>47</v>
      </c>
      <c r="M617" t="b">
        <v>0</v>
      </c>
      <c r="N617" t="s">
        <v>23</v>
      </c>
    </row>
    <row r="618" spans="1:14" x14ac:dyDescent="0.35">
      <c r="A618" t="s">
        <v>854</v>
      </c>
      <c r="B618" t="s">
        <v>144</v>
      </c>
      <c r="C618" t="s">
        <v>65</v>
      </c>
      <c r="D618" t="s">
        <v>27</v>
      </c>
      <c r="E618" t="s">
        <v>18</v>
      </c>
      <c r="F618" t="s">
        <v>19</v>
      </c>
      <c r="G618" t="s">
        <v>30</v>
      </c>
      <c r="H618">
        <v>5</v>
      </c>
      <c r="I618">
        <v>22600</v>
      </c>
      <c r="J618">
        <v>113000</v>
      </c>
      <c r="K618" t="s">
        <v>31</v>
      </c>
      <c r="L618" t="s">
        <v>88</v>
      </c>
      <c r="M618" t="b">
        <v>0</v>
      </c>
      <c r="N618" t="s">
        <v>23</v>
      </c>
    </row>
    <row r="619" spans="1:14" x14ac:dyDescent="0.35">
      <c r="A619" t="s">
        <v>855</v>
      </c>
      <c r="B619" t="s">
        <v>222</v>
      </c>
      <c r="C619" t="s">
        <v>58</v>
      </c>
      <c r="D619" t="s">
        <v>59</v>
      </c>
      <c r="E619" t="s">
        <v>60</v>
      </c>
      <c r="F619" t="s">
        <v>53</v>
      </c>
      <c r="G619" t="s">
        <v>30</v>
      </c>
      <c r="H619">
        <v>1</v>
      </c>
      <c r="I619">
        <v>6700</v>
      </c>
      <c r="J619">
        <v>6700</v>
      </c>
      <c r="K619" t="s">
        <v>31</v>
      </c>
      <c r="L619" t="s">
        <v>109</v>
      </c>
      <c r="M619" t="b">
        <v>1</v>
      </c>
      <c r="N619" t="s">
        <v>23</v>
      </c>
    </row>
    <row r="620" spans="1:14" x14ac:dyDescent="0.35">
      <c r="A620" t="s">
        <v>856</v>
      </c>
      <c r="B620" t="s">
        <v>131</v>
      </c>
      <c r="C620" t="s">
        <v>73</v>
      </c>
      <c r="D620" t="s">
        <v>43</v>
      </c>
      <c r="E620" t="s">
        <v>36</v>
      </c>
      <c r="F620" t="s">
        <v>37</v>
      </c>
      <c r="G620" t="s">
        <v>30</v>
      </c>
      <c r="H620">
        <v>1</v>
      </c>
      <c r="I620">
        <v>43700</v>
      </c>
      <c r="J620">
        <v>43700</v>
      </c>
      <c r="K620" t="s">
        <v>31</v>
      </c>
      <c r="L620" t="s">
        <v>32</v>
      </c>
      <c r="M620" t="b">
        <v>1</v>
      </c>
      <c r="N620" t="s">
        <v>33</v>
      </c>
    </row>
    <row r="621" spans="1:14" x14ac:dyDescent="0.35">
      <c r="A621" t="s">
        <v>857</v>
      </c>
      <c r="B621" t="s">
        <v>543</v>
      </c>
      <c r="C621" t="s">
        <v>26</v>
      </c>
      <c r="D621" t="s">
        <v>27</v>
      </c>
      <c r="E621" t="s">
        <v>36</v>
      </c>
      <c r="F621" t="s">
        <v>37</v>
      </c>
      <c r="G621" t="s">
        <v>30</v>
      </c>
      <c r="H621">
        <v>2</v>
      </c>
      <c r="I621">
        <v>39900</v>
      </c>
      <c r="J621">
        <v>79800</v>
      </c>
      <c r="K621" t="s">
        <v>31</v>
      </c>
      <c r="L621" t="s">
        <v>88</v>
      </c>
      <c r="M621" t="b">
        <v>0</v>
      </c>
      <c r="N621" t="s">
        <v>33</v>
      </c>
    </row>
    <row r="622" spans="1:14" x14ac:dyDescent="0.35">
      <c r="A622" t="s">
        <v>858</v>
      </c>
      <c r="B622" t="s">
        <v>407</v>
      </c>
      <c r="C622" t="s">
        <v>73</v>
      </c>
      <c r="D622" t="s">
        <v>43</v>
      </c>
      <c r="E622" t="s">
        <v>52</v>
      </c>
      <c r="F622" t="s">
        <v>53</v>
      </c>
      <c r="G622" t="s">
        <v>20</v>
      </c>
      <c r="H622">
        <v>1</v>
      </c>
      <c r="I622">
        <v>8100</v>
      </c>
      <c r="J622">
        <v>8100</v>
      </c>
      <c r="K622" t="s">
        <v>21</v>
      </c>
      <c r="L622" t="s">
        <v>22</v>
      </c>
      <c r="M622" t="b">
        <v>0</v>
      </c>
      <c r="N622" t="s">
        <v>23</v>
      </c>
    </row>
    <row r="623" spans="1:14" x14ac:dyDescent="0.35">
      <c r="A623" t="s">
        <v>859</v>
      </c>
      <c r="B623" t="s">
        <v>714</v>
      </c>
      <c r="C623" t="s">
        <v>16</v>
      </c>
      <c r="D623" t="s">
        <v>17</v>
      </c>
      <c r="E623" t="s">
        <v>28</v>
      </c>
      <c r="F623" t="s">
        <v>29</v>
      </c>
      <c r="G623" t="s">
        <v>20</v>
      </c>
      <c r="H623">
        <v>2</v>
      </c>
      <c r="I623">
        <v>112700</v>
      </c>
      <c r="J623">
        <v>225400</v>
      </c>
      <c r="K623" t="s">
        <v>46</v>
      </c>
      <c r="L623" t="s">
        <v>55</v>
      </c>
      <c r="M623" t="b">
        <v>0</v>
      </c>
      <c r="N623" t="s">
        <v>33</v>
      </c>
    </row>
    <row r="624" spans="1:14" x14ac:dyDescent="0.35">
      <c r="A624" t="s">
        <v>860</v>
      </c>
      <c r="B624" t="s">
        <v>129</v>
      </c>
      <c r="C624" t="s">
        <v>67</v>
      </c>
      <c r="D624" t="s">
        <v>59</v>
      </c>
      <c r="E624" t="s">
        <v>18</v>
      </c>
      <c r="F624" t="s">
        <v>19</v>
      </c>
      <c r="G624" t="s">
        <v>30</v>
      </c>
      <c r="H624">
        <v>1</v>
      </c>
      <c r="I624">
        <v>21000</v>
      </c>
      <c r="J624">
        <v>21000</v>
      </c>
      <c r="K624" t="s">
        <v>54</v>
      </c>
      <c r="L624" t="s">
        <v>109</v>
      </c>
      <c r="M624" t="b">
        <v>1</v>
      </c>
      <c r="N624" t="s">
        <v>23</v>
      </c>
    </row>
    <row r="625" spans="1:14" x14ac:dyDescent="0.35">
      <c r="A625" t="s">
        <v>861</v>
      </c>
      <c r="B625" t="s">
        <v>862</v>
      </c>
      <c r="C625" t="s">
        <v>65</v>
      </c>
      <c r="D625" t="s">
        <v>27</v>
      </c>
      <c r="E625" t="s">
        <v>18</v>
      </c>
      <c r="F625" t="s">
        <v>19</v>
      </c>
      <c r="G625" t="s">
        <v>30</v>
      </c>
      <c r="H625">
        <v>1</v>
      </c>
      <c r="I625">
        <v>20900</v>
      </c>
      <c r="J625">
        <v>20900</v>
      </c>
      <c r="K625" t="s">
        <v>31</v>
      </c>
      <c r="L625" t="s">
        <v>88</v>
      </c>
      <c r="M625" t="b">
        <v>0</v>
      </c>
      <c r="N625" t="s">
        <v>23</v>
      </c>
    </row>
    <row r="626" spans="1:14" x14ac:dyDescent="0.35">
      <c r="A626" t="s">
        <v>863</v>
      </c>
      <c r="B626" t="s">
        <v>449</v>
      </c>
      <c r="C626" t="s">
        <v>16</v>
      </c>
      <c r="D626" t="s">
        <v>17</v>
      </c>
      <c r="E626" t="s">
        <v>102</v>
      </c>
      <c r="F626" t="s">
        <v>29</v>
      </c>
      <c r="G626" t="s">
        <v>20</v>
      </c>
      <c r="H626">
        <v>2</v>
      </c>
      <c r="I626">
        <v>31400</v>
      </c>
      <c r="J626">
        <v>62800</v>
      </c>
      <c r="K626" t="s">
        <v>46</v>
      </c>
      <c r="L626" t="s">
        <v>88</v>
      </c>
      <c r="M626" t="b">
        <v>0</v>
      </c>
      <c r="N626" t="s">
        <v>33</v>
      </c>
    </row>
    <row r="627" spans="1:14" x14ac:dyDescent="0.35">
      <c r="A627" t="s">
        <v>864</v>
      </c>
      <c r="B627" t="s">
        <v>111</v>
      </c>
      <c r="C627" t="s">
        <v>42</v>
      </c>
      <c r="D627" t="s">
        <v>43</v>
      </c>
      <c r="E627" t="s">
        <v>120</v>
      </c>
      <c r="F627" t="s">
        <v>45</v>
      </c>
      <c r="G627" t="s">
        <v>20</v>
      </c>
      <c r="H627">
        <v>2</v>
      </c>
      <c r="I627">
        <v>56700</v>
      </c>
      <c r="J627">
        <v>113400</v>
      </c>
      <c r="K627" t="s">
        <v>31</v>
      </c>
      <c r="L627" t="s">
        <v>22</v>
      </c>
      <c r="M627" t="b">
        <v>0</v>
      </c>
      <c r="N627" t="s">
        <v>33</v>
      </c>
    </row>
    <row r="628" spans="1:14" x14ac:dyDescent="0.35">
      <c r="A628" t="s">
        <v>865</v>
      </c>
      <c r="B628" t="s">
        <v>540</v>
      </c>
      <c r="C628" t="s">
        <v>26</v>
      </c>
      <c r="D628" t="s">
        <v>27</v>
      </c>
      <c r="E628" t="s">
        <v>60</v>
      </c>
      <c r="F628" t="s">
        <v>53</v>
      </c>
      <c r="G628" t="s">
        <v>20</v>
      </c>
      <c r="H628">
        <v>4</v>
      </c>
      <c r="I628">
        <v>6500</v>
      </c>
      <c r="J628">
        <v>26000</v>
      </c>
      <c r="K628" t="s">
        <v>46</v>
      </c>
      <c r="L628" t="s">
        <v>22</v>
      </c>
      <c r="M628" t="b">
        <v>0</v>
      </c>
      <c r="N628" t="s">
        <v>23</v>
      </c>
    </row>
    <row r="629" spans="1:14" x14ac:dyDescent="0.35">
      <c r="A629" t="s">
        <v>866</v>
      </c>
      <c r="B629" t="s">
        <v>262</v>
      </c>
      <c r="C629" t="s">
        <v>26</v>
      </c>
      <c r="D629" t="s">
        <v>27</v>
      </c>
      <c r="E629" t="s">
        <v>18</v>
      </c>
      <c r="F629" t="s">
        <v>19</v>
      </c>
      <c r="G629" t="s">
        <v>30</v>
      </c>
      <c r="H629">
        <v>1</v>
      </c>
      <c r="I629">
        <v>21400</v>
      </c>
      <c r="J629">
        <v>21400</v>
      </c>
      <c r="K629" t="s">
        <v>46</v>
      </c>
      <c r="L629" t="s">
        <v>39</v>
      </c>
      <c r="M629" t="b">
        <v>0</v>
      </c>
      <c r="N629" t="s">
        <v>23</v>
      </c>
    </row>
    <row r="630" spans="1:14" x14ac:dyDescent="0.35">
      <c r="A630" t="s">
        <v>867</v>
      </c>
      <c r="B630" t="s">
        <v>165</v>
      </c>
      <c r="C630" t="s">
        <v>42</v>
      </c>
      <c r="D630" t="s">
        <v>43</v>
      </c>
      <c r="E630" t="s">
        <v>44</v>
      </c>
      <c r="F630" t="s">
        <v>45</v>
      </c>
      <c r="G630" t="s">
        <v>30</v>
      </c>
      <c r="H630">
        <v>3</v>
      </c>
      <c r="I630">
        <v>28100</v>
      </c>
      <c r="J630">
        <v>84300</v>
      </c>
      <c r="K630" t="s">
        <v>21</v>
      </c>
      <c r="L630" t="s">
        <v>39</v>
      </c>
      <c r="M630" t="b">
        <v>0</v>
      </c>
      <c r="N630" t="s">
        <v>33</v>
      </c>
    </row>
    <row r="631" spans="1:14" x14ac:dyDescent="0.35">
      <c r="A631" t="s">
        <v>868</v>
      </c>
      <c r="B631" t="s">
        <v>697</v>
      </c>
      <c r="C631" t="s">
        <v>26</v>
      </c>
      <c r="D631" t="s">
        <v>27</v>
      </c>
      <c r="E631" t="s">
        <v>18</v>
      </c>
      <c r="F631" t="s">
        <v>19</v>
      </c>
      <c r="G631" t="s">
        <v>20</v>
      </c>
      <c r="H631">
        <v>1</v>
      </c>
      <c r="I631">
        <v>22400</v>
      </c>
      <c r="J631">
        <v>22400</v>
      </c>
      <c r="K631" t="s">
        <v>70</v>
      </c>
      <c r="L631" t="s">
        <v>55</v>
      </c>
      <c r="M631" t="b">
        <v>0</v>
      </c>
      <c r="N631" t="s">
        <v>23</v>
      </c>
    </row>
    <row r="632" spans="1:14" x14ac:dyDescent="0.35">
      <c r="A632" t="s">
        <v>869</v>
      </c>
      <c r="B632" t="s">
        <v>165</v>
      </c>
      <c r="C632" t="s">
        <v>73</v>
      </c>
      <c r="D632" t="s">
        <v>43</v>
      </c>
      <c r="E632" t="s">
        <v>28</v>
      </c>
      <c r="F632" t="s">
        <v>29</v>
      </c>
      <c r="G632" t="s">
        <v>30</v>
      </c>
      <c r="H632">
        <v>1</v>
      </c>
      <c r="I632">
        <v>121700</v>
      </c>
      <c r="J632">
        <v>121700</v>
      </c>
      <c r="K632" t="s">
        <v>21</v>
      </c>
      <c r="L632" t="s">
        <v>39</v>
      </c>
      <c r="M632" t="b">
        <v>0</v>
      </c>
      <c r="N632" t="s">
        <v>33</v>
      </c>
    </row>
    <row r="633" spans="1:14" x14ac:dyDescent="0.35">
      <c r="A633" t="s">
        <v>870</v>
      </c>
      <c r="B633" t="s">
        <v>427</v>
      </c>
      <c r="C633" t="s">
        <v>16</v>
      </c>
      <c r="D633" t="s">
        <v>17</v>
      </c>
      <c r="E633" t="s">
        <v>28</v>
      </c>
      <c r="F633" t="s">
        <v>29</v>
      </c>
      <c r="G633" t="s">
        <v>20</v>
      </c>
      <c r="H633">
        <v>5</v>
      </c>
      <c r="I633">
        <v>108400</v>
      </c>
      <c r="J633">
        <v>542000</v>
      </c>
      <c r="K633" t="s">
        <v>70</v>
      </c>
      <c r="L633" t="s">
        <v>88</v>
      </c>
      <c r="M633" t="b">
        <v>0</v>
      </c>
      <c r="N633" t="s">
        <v>33</v>
      </c>
    </row>
    <row r="634" spans="1:14" x14ac:dyDescent="0.35">
      <c r="A634" t="s">
        <v>871</v>
      </c>
      <c r="B634" t="s">
        <v>418</v>
      </c>
      <c r="C634" t="s">
        <v>65</v>
      </c>
      <c r="D634" t="s">
        <v>27</v>
      </c>
      <c r="E634" t="s">
        <v>36</v>
      </c>
      <c r="F634" t="s">
        <v>37</v>
      </c>
      <c r="G634" t="s">
        <v>30</v>
      </c>
      <c r="H634">
        <v>2</v>
      </c>
      <c r="I634">
        <v>42200</v>
      </c>
      <c r="J634">
        <v>84400</v>
      </c>
      <c r="K634" t="s">
        <v>38</v>
      </c>
      <c r="L634" t="s">
        <v>22</v>
      </c>
      <c r="M634" t="b">
        <v>0</v>
      </c>
      <c r="N634" t="s">
        <v>33</v>
      </c>
    </row>
    <row r="635" spans="1:14" x14ac:dyDescent="0.35">
      <c r="A635" t="s">
        <v>872</v>
      </c>
      <c r="B635" t="s">
        <v>379</v>
      </c>
      <c r="C635" t="s">
        <v>16</v>
      </c>
      <c r="D635" t="s">
        <v>17</v>
      </c>
      <c r="E635" t="s">
        <v>52</v>
      </c>
      <c r="F635" t="s">
        <v>53</v>
      </c>
      <c r="G635" t="s">
        <v>20</v>
      </c>
      <c r="H635">
        <v>1</v>
      </c>
      <c r="I635">
        <v>8100</v>
      </c>
      <c r="J635">
        <v>8100</v>
      </c>
      <c r="K635" t="s">
        <v>38</v>
      </c>
      <c r="L635" t="s">
        <v>55</v>
      </c>
      <c r="M635" t="b">
        <v>0</v>
      </c>
      <c r="N635" t="s">
        <v>23</v>
      </c>
    </row>
    <row r="636" spans="1:14" x14ac:dyDescent="0.35">
      <c r="A636" t="s">
        <v>873</v>
      </c>
      <c r="B636" t="s">
        <v>310</v>
      </c>
      <c r="C636" t="s">
        <v>50</v>
      </c>
      <c r="D636" t="s">
        <v>51</v>
      </c>
      <c r="E636" t="s">
        <v>74</v>
      </c>
      <c r="F636" t="s">
        <v>75</v>
      </c>
      <c r="G636" t="s">
        <v>30</v>
      </c>
      <c r="H636">
        <v>1</v>
      </c>
      <c r="I636">
        <v>4700</v>
      </c>
      <c r="J636">
        <v>4700</v>
      </c>
      <c r="K636" t="s">
        <v>54</v>
      </c>
      <c r="L636" t="s">
        <v>109</v>
      </c>
      <c r="M636" t="b">
        <v>1</v>
      </c>
      <c r="N636" t="s">
        <v>23</v>
      </c>
    </row>
    <row r="637" spans="1:14" x14ac:dyDescent="0.35">
      <c r="A637" t="s">
        <v>874</v>
      </c>
      <c r="B637" t="s">
        <v>418</v>
      </c>
      <c r="C637" t="s">
        <v>67</v>
      </c>
      <c r="D637" t="s">
        <v>59</v>
      </c>
      <c r="E637" t="s">
        <v>120</v>
      </c>
      <c r="F637" t="s">
        <v>45</v>
      </c>
      <c r="G637" t="s">
        <v>20</v>
      </c>
      <c r="H637">
        <v>1</v>
      </c>
      <c r="I637">
        <v>54800</v>
      </c>
      <c r="J637">
        <v>54800</v>
      </c>
      <c r="K637" t="s">
        <v>38</v>
      </c>
      <c r="L637" t="s">
        <v>22</v>
      </c>
      <c r="M637" t="b">
        <v>0</v>
      </c>
      <c r="N637" t="s">
        <v>33</v>
      </c>
    </row>
    <row r="638" spans="1:14" x14ac:dyDescent="0.35">
      <c r="A638" t="s">
        <v>875</v>
      </c>
      <c r="B638" t="s">
        <v>338</v>
      </c>
      <c r="C638" t="s">
        <v>26</v>
      </c>
      <c r="D638" t="s">
        <v>27</v>
      </c>
      <c r="E638" t="s">
        <v>120</v>
      </c>
      <c r="F638" t="s">
        <v>45</v>
      </c>
      <c r="G638" t="s">
        <v>30</v>
      </c>
      <c r="H638">
        <v>2</v>
      </c>
      <c r="I638">
        <v>52300</v>
      </c>
      <c r="J638">
        <v>104600</v>
      </c>
      <c r="K638" t="s">
        <v>70</v>
      </c>
      <c r="L638" t="s">
        <v>39</v>
      </c>
      <c r="M638" t="b">
        <v>0</v>
      </c>
      <c r="N638" t="s">
        <v>33</v>
      </c>
    </row>
    <row r="639" spans="1:14" x14ac:dyDescent="0.35">
      <c r="A639" t="s">
        <v>876</v>
      </c>
      <c r="B639" t="s">
        <v>197</v>
      </c>
      <c r="C639" t="s">
        <v>42</v>
      </c>
      <c r="D639" t="s">
        <v>43</v>
      </c>
      <c r="E639" t="s">
        <v>94</v>
      </c>
      <c r="F639" t="s">
        <v>37</v>
      </c>
      <c r="G639" t="s">
        <v>20</v>
      </c>
      <c r="H639">
        <v>3</v>
      </c>
      <c r="I639">
        <v>18200</v>
      </c>
      <c r="J639">
        <v>54600</v>
      </c>
      <c r="K639" t="s">
        <v>46</v>
      </c>
      <c r="L639" t="s">
        <v>22</v>
      </c>
      <c r="M639" t="b">
        <v>0</v>
      </c>
      <c r="N639" t="s">
        <v>23</v>
      </c>
    </row>
    <row r="640" spans="1:14" x14ac:dyDescent="0.35">
      <c r="A640" t="s">
        <v>877</v>
      </c>
      <c r="B640" t="s">
        <v>245</v>
      </c>
      <c r="C640" t="s">
        <v>26</v>
      </c>
      <c r="D640" t="s">
        <v>27</v>
      </c>
      <c r="E640" t="s">
        <v>94</v>
      </c>
      <c r="F640" t="s">
        <v>37</v>
      </c>
      <c r="G640" t="s">
        <v>20</v>
      </c>
      <c r="H640">
        <v>1</v>
      </c>
      <c r="I640">
        <v>17500</v>
      </c>
      <c r="J640">
        <v>17500</v>
      </c>
      <c r="K640" t="s">
        <v>31</v>
      </c>
      <c r="L640" t="s">
        <v>22</v>
      </c>
      <c r="M640" t="b">
        <v>0</v>
      </c>
      <c r="N640" t="s">
        <v>23</v>
      </c>
    </row>
    <row r="641" spans="1:14" x14ac:dyDescent="0.35">
      <c r="A641" t="s">
        <v>878</v>
      </c>
      <c r="B641" t="s">
        <v>163</v>
      </c>
      <c r="C641" t="s">
        <v>73</v>
      </c>
      <c r="D641" t="s">
        <v>43</v>
      </c>
      <c r="E641" t="s">
        <v>94</v>
      </c>
      <c r="F641" t="s">
        <v>37</v>
      </c>
      <c r="G641" t="s">
        <v>20</v>
      </c>
      <c r="H641">
        <v>2</v>
      </c>
      <c r="I641">
        <v>17200</v>
      </c>
      <c r="J641">
        <v>34400</v>
      </c>
      <c r="K641" t="s">
        <v>31</v>
      </c>
      <c r="L641" t="s">
        <v>109</v>
      </c>
      <c r="M641" t="b">
        <v>1</v>
      </c>
      <c r="N641" t="s">
        <v>23</v>
      </c>
    </row>
    <row r="642" spans="1:14" x14ac:dyDescent="0.35">
      <c r="A642" t="s">
        <v>879</v>
      </c>
      <c r="B642" t="s">
        <v>41</v>
      </c>
      <c r="C642" t="s">
        <v>26</v>
      </c>
      <c r="D642" t="s">
        <v>27</v>
      </c>
      <c r="E642" t="s">
        <v>52</v>
      </c>
      <c r="F642" t="s">
        <v>53</v>
      </c>
      <c r="G642" t="s">
        <v>30</v>
      </c>
      <c r="H642">
        <v>1</v>
      </c>
      <c r="I642">
        <v>8200</v>
      </c>
      <c r="J642">
        <v>8200</v>
      </c>
      <c r="K642" t="s">
        <v>46</v>
      </c>
      <c r="L642" t="s">
        <v>47</v>
      </c>
      <c r="M642" t="b">
        <v>0</v>
      </c>
      <c r="N642" t="s">
        <v>23</v>
      </c>
    </row>
    <row r="643" spans="1:14" x14ac:dyDescent="0.35">
      <c r="A643" t="s">
        <v>880</v>
      </c>
      <c r="B643" t="s">
        <v>281</v>
      </c>
      <c r="C643" t="s">
        <v>26</v>
      </c>
      <c r="D643" t="s">
        <v>27</v>
      </c>
      <c r="E643" t="s">
        <v>18</v>
      </c>
      <c r="F643" t="s">
        <v>19</v>
      </c>
      <c r="G643" t="s">
        <v>30</v>
      </c>
      <c r="H643">
        <v>2</v>
      </c>
      <c r="I643">
        <v>21800</v>
      </c>
      <c r="J643">
        <v>43600</v>
      </c>
      <c r="K643" t="s">
        <v>46</v>
      </c>
      <c r="L643" t="s">
        <v>55</v>
      </c>
      <c r="M643" t="b">
        <v>0</v>
      </c>
      <c r="N643" t="s">
        <v>23</v>
      </c>
    </row>
    <row r="644" spans="1:14" x14ac:dyDescent="0.35">
      <c r="A644" t="s">
        <v>881</v>
      </c>
      <c r="B644" t="s">
        <v>136</v>
      </c>
      <c r="C644" t="s">
        <v>67</v>
      </c>
      <c r="D644" t="s">
        <v>59</v>
      </c>
      <c r="E644" t="s">
        <v>80</v>
      </c>
      <c r="F644" t="s">
        <v>81</v>
      </c>
      <c r="G644" t="s">
        <v>30</v>
      </c>
      <c r="H644">
        <v>1</v>
      </c>
      <c r="I644">
        <v>12200</v>
      </c>
      <c r="J644">
        <v>12200</v>
      </c>
      <c r="K644" t="s">
        <v>70</v>
      </c>
      <c r="L644" t="s">
        <v>47</v>
      </c>
      <c r="M644" t="b">
        <v>0</v>
      </c>
      <c r="N644" t="s">
        <v>23</v>
      </c>
    </row>
    <row r="645" spans="1:14" x14ac:dyDescent="0.35">
      <c r="A645" t="s">
        <v>882</v>
      </c>
      <c r="B645" t="s">
        <v>205</v>
      </c>
      <c r="C645" t="s">
        <v>65</v>
      </c>
      <c r="D645" t="s">
        <v>27</v>
      </c>
      <c r="E645" t="s">
        <v>74</v>
      </c>
      <c r="F645" t="s">
        <v>75</v>
      </c>
      <c r="G645" t="s">
        <v>30</v>
      </c>
      <c r="H645">
        <v>1</v>
      </c>
      <c r="I645">
        <v>4200</v>
      </c>
      <c r="J645">
        <v>4200</v>
      </c>
      <c r="K645" t="s">
        <v>38</v>
      </c>
      <c r="L645" t="s">
        <v>22</v>
      </c>
      <c r="M645" t="b">
        <v>0</v>
      </c>
      <c r="N645" t="s">
        <v>23</v>
      </c>
    </row>
    <row r="646" spans="1:14" x14ac:dyDescent="0.35">
      <c r="A646" t="s">
        <v>883</v>
      </c>
      <c r="B646" t="s">
        <v>574</v>
      </c>
      <c r="C646" t="s">
        <v>73</v>
      </c>
      <c r="D646" t="s">
        <v>43</v>
      </c>
      <c r="E646" t="s">
        <v>97</v>
      </c>
      <c r="F646" t="s">
        <v>29</v>
      </c>
      <c r="G646" t="s">
        <v>30</v>
      </c>
      <c r="H646">
        <v>1</v>
      </c>
      <c r="I646">
        <v>31800</v>
      </c>
      <c r="J646">
        <v>31800</v>
      </c>
      <c r="K646" t="s">
        <v>54</v>
      </c>
      <c r="L646" t="s">
        <v>55</v>
      </c>
      <c r="M646" t="b">
        <v>0</v>
      </c>
      <c r="N646" t="s">
        <v>33</v>
      </c>
    </row>
    <row r="647" spans="1:14" x14ac:dyDescent="0.35">
      <c r="A647" t="s">
        <v>884</v>
      </c>
      <c r="B647" t="s">
        <v>847</v>
      </c>
      <c r="C647" t="s">
        <v>58</v>
      </c>
      <c r="D647" t="s">
        <v>59</v>
      </c>
      <c r="E647" t="s">
        <v>52</v>
      </c>
      <c r="F647" t="s">
        <v>53</v>
      </c>
      <c r="G647" t="s">
        <v>20</v>
      </c>
      <c r="H647">
        <v>1</v>
      </c>
      <c r="I647">
        <v>9000</v>
      </c>
      <c r="J647">
        <v>9000</v>
      </c>
      <c r="K647" t="s">
        <v>46</v>
      </c>
      <c r="L647" t="s">
        <v>22</v>
      </c>
      <c r="M647" t="b">
        <v>0</v>
      </c>
      <c r="N647" t="s">
        <v>23</v>
      </c>
    </row>
    <row r="648" spans="1:14" x14ac:dyDescent="0.35">
      <c r="A648" t="s">
        <v>885</v>
      </c>
      <c r="B648" t="s">
        <v>342</v>
      </c>
      <c r="C648" t="s">
        <v>26</v>
      </c>
      <c r="D648" t="s">
        <v>27</v>
      </c>
      <c r="E648" t="s">
        <v>102</v>
      </c>
      <c r="F648" t="s">
        <v>29</v>
      </c>
      <c r="G648" t="s">
        <v>30</v>
      </c>
      <c r="H648">
        <v>1</v>
      </c>
      <c r="I648">
        <v>30000</v>
      </c>
      <c r="J648">
        <v>30000</v>
      </c>
      <c r="K648" t="s">
        <v>54</v>
      </c>
      <c r="L648" t="s">
        <v>47</v>
      </c>
      <c r="M648" t="b">
        <v>0</v>
      </c>
      <c r="N648" t="s">
        <v>33</v>
      </c>
    </row>
    <row r="649" spans="1:14" x14ac:dyDescent="0.35">
      <c r="A649" t="s">
        <v>886</v>
      </c>
      <c r="B649" t="s">
        <v>224</v>
      </c>
      <c r="C649" t="s">
        <v>26</v>
      </c>
      <c r="D649" t="s">
        <v>27</v>
      </c>
      <c r="E649" t="s">
        <v>80</v>
      </c>
      <c r="F649" t="s">
        <v>81</v>
      </c>
      <c r="G649" t="s">
        <v>20</v>
      </c>
      <c r="H649">
        <v>1</v>
      </c>
      <c r="I649">
        <v>11100</v>
      </c>
      <c r="J649">
        <v>11100</v>
      </c>
      <c r="K649" t="s">
        <v>38</v>
      </c>
      <c r="L649" t="s">
        <v>88</v>
      </c>
      <c r="M649" t="b">
        <v>0</v>
      </c>
      <c r="N649" t="s">
        <v>23</v>
      </c>
    </row>
    <row r="650" spans="1:14" x14ac:dyDescent="0.35">
      <c r="A650" t="s">
        <v>887</v>
      </c>
      <c r="B650" t="s">
        <v>113</v>
      </c>
      <c r="C650" t="s">
        <v>42</v>
      </c>
      <c r="D650" t="s">
        <v>43</v>
      </c>
      <c r="E650" t="s">
        <v>80</v>
      </c>
      <c r="F650" t="s">
        <v>81</v>
      </c>
      <c r="G650" t="s">
        <v>30</v>
      </c>
      <c r="H650">
        <v>3</v>
      </c>
      <c r="I650">
        <v>12000</v>
      </c>
      <c r="J650">
        <v>36000</v>
      </c>
      <c r="K650" t="s">
        <v>46</v>
      </c>
      <c r="L650" t="s">
        <v>88</v>
      </c>
      <c r="M650" t="b">
        <v>0</v>
      </c>
      <c r="N650" t="s">
        <v>23</v>
      </c>
    </row>
    <row r="651" spans="1:14" x14ac:dyDescent="0.35">
      <c r="A651" t="s">
        <v>888</v>
      </c>
      <c r="B651" t="s">
        <v>297</v>
      </c>
      <c r="C651" t="s">
        <v>42</v>
      </c>
      <c r="D651" t="s">
        <v>43</v>
      </c>
      <c r="E651" t="s">
        <v>120</v>
      </c>
      <c r="F651" t="s">
        <v>45</v>
      </c>
      <c r="G651" t="s">
        <v>30</v>
      </c>
      <c r="H651">
        <v>1</v>
      </c>
      <c r="I651">
        <v>50200</v>
      </c>
      <c r="J651">
        <v>50200</v>
      </c>
      <c r="K651" t="s">
        <v>70</v>
      </c>
      <c r="L651" t="s">
        <v>109</v>
      </c>
      <c r="M651" t="b">
        <v>1</v>
      </c>
      <c r="N651" t="s">
        <v>33</v>
      </c>
    </row>
    <row r="652" spans="1:14" x14ac:dyDescent="0.35">
      <c r="A652" t="s">
        <v>889</v>
      </c>
      <c r="B652" t="s">
        <v>99</v>
      </c>
      <c r="C652" t="s">
        <v>16</v>
      </c>
      <c r="D652" t="s">
        <v>17</v>
      </c>
      <c r="E652" t="s">
        <v>94</v>
      </c>
      <c r="F652" t="s">
        <v>37</v>
      </c>
      <c r="G652" t="s">
        <v>30</v>
      </c>
      <c r="H652">
        <v>1</v>
      </c>
      <c r="I652">
        <v>18900</v>
      </c>
      <c r="J652">
        <v>18900</v>
      </c>
      <c r="K652" t="s">
        <v>46</v>
      </c>
      <c r="L652" t="s">
        <v>88</v>
      </c>
      <c r="M652" t="b">
        <v>0</v>
      </c>
      <c r="N652" t="s">
        <v>23</v>
      </c>
    </row>
    <row r="653" spans="1:14" x14ac:dyDescent="0.35">
      <c r="A653" t="s">
        <v>890</v>
      </c>
      <c r="B653" t="s">
        <v>152</v>
      </c>
      <c r="C653" t="s">
        <v>58</v>
      </c>
      <c r="D653" t="s">
        <v>59</v>
      </c>
      <c r="E653" t="s">
        <v>80</v>
      </c>
      <c r="F653" t="s">
        <v>81</v>
      </c>
      <c r="G653" t="s">
        <v>20</v>
      </c>
      <c r="H653">
        <v>1</v>
      </c>
      <c r="I653">
        <v>12100</v>
      </c>
      <c r="J653">
        <v>12100</v>
      </c>
      <c r="K653" t="s">
        <v>54</v>
      </c>
      <c r="L653" t="s">
        <v>39</v>
      </c>
      <c r="M653" t="b">
        <v>0</v>
      </c>
      <c r="N653" t="s">
        <v>23</v>
      </c>
    </row>
    <row r="654" spans="1:14" x14ac:dyDescent="0.35">
      <c r="A654" t="s">
        <v>891</v>
      </c>
      <c r="B654" t="s">
        <v>274</v>
      </c>
      <c r="C654" t="s">
        <v>16</v>
      </c>
      <c r="D654" t="s">
        <v>17</v>
      </c>
      <c r="E654" t="s">
        <v>52</v>
      </c>
      <c r="F654" t="s">
        <v>53</v>
      </c>
      <c r="G654" t="s">
        <v>20</v>
      </c>
      <c r="H654">
        <v>2</v>
      </c>
      <c r="I654">
        <v>8400</v>
      </c>
      <c r="J654">
        <v>16800</v>
      </c>
      <c r="K654" t="s">
        <v>54</v>
      </c>
      <c r="L654" t="s">
        <v>109</v>
      </c>
      <c r="M654" t="b">
        <v>1</v>
      </c>
      <c r="N654" t="s">
        <v>23</v>
      </c>
    </row>
    <row r="655" spans="1:14" x14ac:dyDescent="0.35">
      <c r="A655" t="s">
        <v>892</v>
      </c>
      <c r="B655" t="s">
        <v>156</v>
      </c>
      <c r="C655" t="s">
        <v>42</v>
      </c>
      <c r="D655" t="s">
        <v>43</v>
      </c>
      <c r="E655" t="s">
        <v>97</v>
      </c>
      <c r="F655" t="s">
        <v>29</v>
      </c>
      <c r="G655" t="s">
        <v>30</v>
      </c>
      <c r="H655">
        <v>2</v>
      </c>
      <c r="I655">
        <v>33300</v>
      </c>
      <c r="J655">
        <v>66600</v>
      </c>
      <c r="K655" t="s">
        <v>21</v>
      </c>
      <c r="L655" t="s">
        <v>55</v>
      </c>
      <c r="M655" t="b">
        <v>0</v>
      </c>
      <c r="N655" t="s">
        <v>33</v>
      </c>
    </row>
    <row r="656" spans="1:14" x14ac:dyDescent="0.35">
      <c r="A656" t="s">
        <v>893</v>
      </c>
      <c r="B656" t="s">
        <v>134</v>
      </c>
      <c r="C656" t="s">
        <v>58</v>
      </c>
      <c r="D656" t="s">
        <v>59</v>
      </c>
      <c r="E656" t="s">
        <v>80</v>
      </c>
      <c r="F656" t="s">
        <v>81</v>
      </c>
      <c r="G656" t="s">
        <v>30</v>
      </c>
      <c r="H656">
        <v>2</v>
      </c>
      <c r="I656">
        <v>11300</v>
      </c>
      <c r="J656">
        <v>22600</v>
      </c>
      <c r="K656" t="s">
        <v>54</v>
      </c>
      <c r="L656" t="s">
        <v>109</v>
      </c>
      <c r="M656" t="b">
        <v>1</v>
      </c>
      <c r="N656" t="s">
        <v>23</v>
      </c>
    </row>
    <row r="657" spans="1:14" x14ac:dyDescent="0.35">
      <c r="A657" t="s">
        <v>894</v>
      </c>
      <c r="B657" t="s">
        <v>574</v>
      </c>
      <c r="C657" t="s">
        <v>26</v>
      </c>
      <c r="D657" t="s">
        <v>27</v>
      </c>
      <c r="E657" t="s">
        <v>60</v>
      </c>
      <c r="F657" t="s">
        <v>53</v>
      </c>
      <c r="G657" t="s">
        <v>30</v>
      </c>
      <c r="H657">
        <v>1</v>
      </c>
      <c r="I657">
        <v>7200</v>
      </c>
      <c r="J657">
        <v>7200</v>
      </c>
      <c r="K657" t="s">
        <v>54</v>
      </c>
      <c r="L657" t="s">
        <v>55</v>
      </c>
      <c r="M657" t="b">
        <v>0</v>
      </c>
      <c r="N657" t="s">
        <v>23</v>
      </c>
    </row>
    <row r="658" spans="1:14" x14ac:dyDescent="0.35">
      <c r="A658" t="s">
        <v>895</v>
      </c>
      <c r="B658" t="s">
        <v>307</v>
      </c>
      <c r="C658" t="s">
        <v>50</v>
      </c>
      <c r="D658" t="s">
        <v>51</v>
      </c>
      <c r="E658" t="s">
        <v>28</v>
      </c>
      <c r="F658" t="s">
        <v>29</v>
      </c>
      <c r="G658" t="s">
        <v>30</v>
      </c>
      <c r="H658">
        <v>1</v>
      </c>
      <c r="I658">
        <v>124000</v>
      </c>
      <c r="J658">
        <v>124000</v>
      </c>
      <c r="K658" t="s">
        <v>31</v>
      </c>
      <c r="L658" t="s">
        <v>88</v>
      </c>
      <c r="M658" t="b">
        <v>0</v>
      </c>
      <c r="N658" t="s">
        <v>33</v>
      </c>
    </row>
    <row r="659" spans="1:14" x14ac:dyDescent="0.35">
      <c r="A659" t="s">
        <v>896</v>
      </c>
      <c r="B659" t="s">
        <v>624</v>
      </c>
      <c r="C659" t="s">
        <v>73</v>
      </c>
      <c r="D659" t="s">
        <v>43</v>
      </c>
      <c r="E659" t="s">
        <v>18</v>
      </c>
      <c r="F659" t="s">
        <v>19</v>
      </c>
      <c r="G659" t="s">
        <v>30</v>
      </c>
      <c r="H659">
        <v>1</v>
      </c>
      <c r="I659">
        <v>21200</v>
      </c>
      <c r="J659">
        <v>21200</v>
      </c>
      <c r="K659" t="s">
        <v>31</v>
      </c>
      <c r="L659" t="s">
        <v>47</v>
      </c>
      <c r="M659" t="b">
        <v>0</v>
      </c>
      <c r="N659" t="s">
        <v>23</v>
      </c>
    </row>
    <row r="660" spans="1:14" x14ac:dyDescent="0.35">
      <c r="A660" t="s">
        <v>897</v>
      </c>
      <c r="B660" t="s">
        <v>421</v>
      </c>
      <c r="C660" t="s">
        <v>50</v>
      </c>
      <c r="D660" t="s">
        <v>51</v>
      </c>
      <c r="E660" t="s">
        <v>52</v>
      </c>
      <c r="F660" t="s">
        <v>53</v>
      </c>
      <c r="G660" t="s">
        <v>30</v>
      </c>
      <c r="H660">
        <v>1</v>
      </c>
      <c r="I660">
        <v>8000</v>
      </c>
      <c r="J660">
        <v>8000</v>
      </c>
      <c r="K660" t="s">
        <v>38</v>
      </c>
      <c r="L660" t="s">
        <v>88</v>
      </c>
      <c r="M660" t="b">
        <v>0</v>
      </c>
      <c r="N660" t="s">
        <v>23</v>
      </c>
    </row>
    <row r="661" spans="1:14" x14ac:dyDescent="0.35">
      <c r="A661" t="s">
        <v>898</v>
      </c>
      <c r="B661" t="s">
        <v>127</v>
      </c>
      <c r="C661" t="s">
        <v>58</v>
      </c>
      <c r="D661" t="s">
        <v>59</v>
      </c>
      <c r="E661" t="s">
        <v>74</v>
      </c>
      <c r="F661" t="s">
        <v>75</v>
      </c>
      <c r="G661" t="s">
        <v>30</v>
      </c>
      <c r="H661">
        <v>4</v>
      </c>
      <c r="I661">
        <v>4500</v>
      </c>
      <c r="J661">
        <v>18000</v>
      </c>
      <c r="K661" t="s">
        <v>46</v>
      </c>
      <c r="L661" t="s">
        <v>109</v>
      </c>
      <c r="M661" t="b">
        <v>1</v>
      </c>
      <c r="N661" t="s">
        <v>23</v>
      </c>
    </row>
    <row r="662" spans="1:14" x14ac:dyDescent="0.35">
      <c r="A662" t="s">
        <v>899</v>
      </c>
      <c r="B662" t="s">
        <v>489</v>
      </c>
      <c r="C662" t="s">
        <v>73</v>
      </c>
      <c r="D662" t="s">
        <v>43</v>
      </c>
      <c r="E662" t="s">
        <v>52</v>
      </c>
      <c r="F662" t="s">
        <v>53</v>
      </c>
      <c r="G662" t="s">
        <v>20</v>
      </c>
      <c r="H662">
        <v>1</v>
      </c>
      <c r="I662">
        <v>8000</v>
      </c>
      <c r="J662">
        <v>8000</v>
      </c>
      <c r="K662" t="s">
        <v>21</v>
      </c>
      <c r="L662" t="s">
        <v>109</v>
      </c>
      <c r="M662" t="b">
        <v>1</v>
      </c>
      <c r="N662" t="s">
        <v>23</v>
      </c>
    </row>
    <row r="663" spans="1:14" x14ac:dyDescent="0.35">
      <c r="A663" t="s">
        <v>900</v>
      </c>
      <c r="B663" t="s">
        <v>307</v>
      </c>
      <c r="C663" t="s">
        <v>16</v>
      </c>
      <c r="D663" t="s">
        <v>17</v>
      </c>
      <c r="E663" t="s">
        <v>97</v>
      </c>
      <c r="F663" t="s">
        <v>29</v>
      </c>
      <c r="G663" t="s">
        <v>20</v>
      </c>
      <c r="H663">
        <v>3</v>
      </c>
      <c r="I663">
        <v>30700</v>
      </c>
      <c r="J663">
        <v>92100</v>
      </c>
      <c r="K663" t="s">
        <v>31</v>
      </c>
      <c r="L663" t="s">
        <v>88</v>
      </c>
      <c r="M663" t="b">
        <v>0</v>
      </c>
      <c r="N663" t="s">
        <v>33</v>
      </c>
    </row>
    <row r="664" spans="1:14" x14ac:dyDescent="0.35">
      <c r="A664" t="s">
        <v>901</v>
      </c>
      <c r="B664" t="s">
        <v>93</v>
      </c>
      <c r="C664" t="s">
        <v>16</v>
      </c>
      <c r="D664" t="s">
        <v>17</v>
      </c>
      <c r="E664" t="s">
        <v>74</v>
      </c>
      <c r="F664" t="s">
        <v>75</v>
      </c>
      <c r="G664" t="s">
        <v>30</v>
      </c>
      <c r="H664">
        <v>3</v>
      </c>
      <c r="I664">
        <v>4200</v>
      </c>
      <c r="J664">
        <v>12600</v>
      </c>
      <c r="K664" t="s">
        <v>21</v>
      </c>
      <c r="L664" t="s">
        <v>32</v>
      </c>
      <c r="M664" t="b">
        <v>1</v>
      </c>
      <c r="N664" t="s">
        <v>23</v>
      </c>
    </row>
    <row r="665" spans="1:14" x14ac:dyDescent="0.35">
      <c r="A665" t="s">
        <v>902</v>
      </c>
      <c r="B665" t="s">
        <v>364</v>
      </c>
      <c r="C665" t="s">
        <v>73</v>
      </c>
      <c r="D665" t="s">
        <v>43</v>
      </c>
      <c r="E665" t="s">
        <v>18</v>
      </c>
      <c r="F665" t="s">
        <v>19</v>
      </c>
      <c r="G665" t="s">
        <v>30</v>
      </c>
      <c r="H665">
        <v>1</v>
      </c>
      <c r="I665">
        <v>23200</v>
      </c>
      <c r="J665">
        <v>23200</v>
      </c>
      <c r="K665" t="s">
        <v>21</v>
      </c>
      <c r="L665" t="s">
        <v>88</v>
      </c>
      <c r="M665" t="b">
        <v>0</v>
      </c>
      <c r="N665" t="s">
        <v>23</v>
      </c>
    </row>
    <row r="666" spans="1:14" x14ac:dyDescent="0.35">
      <c r="A666" t="s">
        <v>903</v>
      </c>
      <c r="B666" t="s">
        <v>543</v>
      </c>
      <c r="C666" t="s">
        <v>50</v>
      </c>
      <c r="D666" t="s">
        <v>51</v>
      </c>
      <c r="E666" t="s">
        <v>97</v>
      </c>
      <c r="F666" t="s">
        <v>29</v>
      </c>
      <c r="G666" t="s">
        <v>30</v>
      </c>
      <c r="H666">
        <v>1</v>
      </c>
      <c r="I666">
        <v>31200</v>
      </c>
      <c r="J666">
        <v>31200</v>
      </c>
      <c r="K666" t="s">
        <v>31</v>
      </c>
      <c r="L666" t="s">
        <v>88</v>
      </c>
      <c r="M666" t="b">
        <v>0</v>
      </c>
      <c r="N666" t="s">
        <v>33</v>
      </c>
    </row>
    <row r="667" spans="1:14" x14ac:dyDescent="0.35">
      <c r="A667" t="s">
        <v>904</v>
      </c>
      <c r="B667" t="s">
        <v>489</v>
      </c>
      <c r="C667" t="s">
        <v>50</v>
      </c>
      <c r="D667" t="s">
        <v>51</v>
      </c>
      <c r="E667" t="s">
        <v>52</v>
      </c>
      <c r="F667" t="s">
        <v>53</v>
      </c>
      <c r="G667" t="s">
        <v>30</v>
      </c>
      <c r="H667">
        <v>2</v>
      </c>
      <c r="I667">
        <v>7900</v>
      </c>
      <c r="J667">
        <v>15800</v>
      </c>
      <c r="K667" t="s">
        <v>21</v>
      </c>
      <c r="L667" t="s">
        <v>109</v>
      </c>
      <c r="M667" t="b">
        <v>1</v>
      </c>
      <c r="N667" t="s">
        <v>23</v>
      </c>
    </row>
    <row r="668" spans="1:14" x14ac:dyDescent="0.35">
      <c r="A668" t="s">
        <v>905</v>
      </c>
      <c r="B668" t="s">
        <v>388</v>
      </c>
      <c r="C668" t="s">
        <v>50</v>
      </c>
      <c r="D668" t="s">
        <v>51</v>
      </c>
      <c r="E668" t="s">
        <v>120</v>
      </c>
      <c r="F668" t="s">
        <v>45</v>
      </c>
      <c r="G668" t="s">
        <v>30</v>
      </c>
      <c r="H668">
        <v>1</v>
      </c>
      <c r="I668">
        <v>53500</v>
      </c>
      <c r="J668">
        <v>53500</v>
      </c>
      <c r="K668" t="s">
        <v>38</v>
      </c>
      <c r="L668" t="s">
        <v>109</v>
      </c>
      <c r="M668" t="b">
        <v>1</v>
      </c>
      <c r="N668" t="s">
        <v>33</v>
      </c>
    </row>
    <row r="669" spans="1:14" x14ac:dyDescent="0.35">
      <c r="A669" t="s">
        <v>906</v>
      </c>
      <c r="B669" t="s">
        <v>371</v>
      </c>
      <c r="C669" t="s">
        <v>16</v>
      </c>
      <c r="D669" t="s">
        <v>17</v>
      </c>
      <c r="E669" t="s">
        <v>80</v>
      </c>
      <c r="F669" t="s">
        <v>81</v>
      </c>
      <c r="G669" t="s">
        <v>30</v>
      </c>
      <c r="H669">
        <v>1</v>
      </c>
      <c r="I669">
        <v>12400</v>
      </c>
      <c r="J669">
        <v>12400</v>
      </c>
      <c r="K669" t="s">
        <v>46</v>
      </c>
      <c r="L669" t="s">
        <v>109</v>
      </c>
      <c r="M669" t="b">
        <v>1</v>
      </c>
      <c r="N669" t="s">
        <v>23</v>
      </c>
    </row>
    <row r="670" spans="1:14" x14ac:dyDescent="0.35">
      <c r="A670" t="s">
        <v>907</v>
      </c>
      <c r="B670" t="s">
        <v>489</v>
      </c>
      <c r="C670" t="s">
        <v>65</v>
      </c>
      <c r="D670" t="s">
        <v>27</v>
      </c>
      <c r="E670" t="s">
        <v>120</v>
      </c>
      <c r="F670" t="s">
        <v>45</v>
      </c>
      <c r="G670" t="s">
        <v>30</v>
      </c>
      <c r="H670">
        <v>1</v>
      </c>
      <c r="I670">
        <v>54800</v>
      </c>
      <c r="J670">
        <v>54800</v>
      </c>
      <c r="K670" t="s">
        <v>21</v>
      </c>
      <c r="L670" t="s">
        <v>109</v>
      </c>
      <c r="M670" t="b">
        <v>1</v>
      </c>
      <c r="N670" t="s">
        <v>33</v>
      </c>
    </row>
    <row r="671" spans="1:14" x14ac:dyDescent="0.35">
      <c r="A671" t="s">
        <v>908</v>
      </c>
      <c r="B671" t="s">
        <v>69</v>
      </c>
      <c r="C671" t="s">
        <v>67</v>
      </c>
      <c r="D671" t="s">
        <v>59</v>
      </c>
      <c r="E671" t="s">
        <v>80</v>
      </c>
      <c r="F671" t="s">
        <v>81</v>
      </c>
      <c r="G671" t="s">
        <v>30</v>
      </c>
      <c r="H671">
        <v>2</v>
      </c>
      <c r="I671">
        <v>12000</v>
      </c>
      <c r="J671">
        <v>24000</v>
      </c>
      <c r="K671" t="s">
        <v>70</v>
      </c>
      <c r="L671" t="s">
        <v>32</v>
      </c>
      <c r="M671" t="b">
        <v>1</v>
      </c>
      <c r="N671" t="s">
        <v>23</v>
      </c>
    </row>
    <row r="672" spans="1:14" x14ac:dyDescent="0.35">
      <c r="A672" t="s">
        <v>909</v>
      </c>
      <c r="B672" t="s">
        <v>253</v>
      </c>
      <c r="C672" t="s">
        <v>58</v>
      </c>
      <c r="D672" t="s">
        <v>59</v>
      </c>
      <c r="E672" t="s">
        <v>74</v>
      </c>
      <c r="F672" t="s">
        <v>75</v>
      </c>
      <c r="G672" t="s">
        <v>30</v>
      </c>
      <c r="H672">
        <v>3</v>
      </c>
      <c r="I672">
        <v>4600</v>
      </c>
      <c r="J672">
        <v>13800</v>
      </c>
      <c r="K672" t="s">
        <v>31</v>
      </c>
      <c r="L672" t="s">
        <v>22</v>
      </c>
      <c r="M672" t="b">
        <v>0</v>
      </c>
      <c r="N672" t="s">
        <v>23</v>
      </c>
    </row>
    <row r="673" spans="1:14" x14ac:dyDescent="0.35">
      <c r="A673" t="s">
        <v>910</v>
      </c>
      <c r="B673" t="s">
        <v>150</v>
      </c>
      <c r="C673" t="s">
        <v>58</v>
      </c>
      <c r="D673" t="s">
        <v>59</v>
      </c>
      <c r="E673" t="s">
        <v>52</v>
      </c>
      <c r="F673" t="s">
        <v>53</v>
      </c>
      <c r="G673" t="s">
        <v>20</v>
      </c>
      <c r="H673">
        <v>1</v>
      </c>
      <c r="I673">
        <v>8200</v>
      </c>
      <c r="J673">
        <v>8200</v>
      </c>
      <c r="K673" t="s">
        <v>70</v>
      </c>
      <c r="L673" t="s">
        <v>88</v>
      </c>
      <c r="M673" t="b">
        <v>0</v>
      </c>
      <c r="N673" t="s">
        <v>23</v>
      </c>
    </row>
    <row r="674" spans="1:14" x14ac:dyDescent="0.35">
      <c r="A674" t="s">
        <v>911</v>
      </c>
      <c r="B674" t="s">
        <v>441</v>
      </c>
      <c r="C674" t="s">
        <v>50</v>
      </c>
      <c r="D674" t="s">
        <v>51</v>
      </c>
      <c r="E674" t="s">
        <v>18</v>
      </c>
      <c r="F674" t="s">
        <v>19</v>
      </c>
      <c r="G674" t="s">
        <v>20</v>
      </c>
      <c r="H674">
        <v>2</v>
      </c>
      <c r="I674">
        <v>21400</v>
      </c>
      <c r="J674">
        <v>42800</v>
      </c>
      <c r="K674" t="s">
        <v>38</v>
      </c>
      <c r="L674" t="s">
        <v>109</v>
      </c>
      <c r="M674" t="b">
        <v>1</v>
      </c>
      <c r="N674" t="s">
        <v>23</v>
      </c>
    </row>
    <row r="675" spans="1:14" x14ac:dyDescent="0.35">
      <c r="A675" t="s">
        <v>912</v>
      </c>
      <c r="B675" t="s">
        <v>214</v>
      </c>
      <c r="C675" t="s">
        <v>67</v>
      </c>
      <c r="D675" t="s">
        <v>59</v>
      </c>
      <c r="E675" t="s">
        <v>74</v>
      </c>
      <c r="F675" t="s">
        <v>75</v>
      </c>
      <c r="G675" t="s">
        <v>30</v>
      </c>
      <c r="H675">
        <v>1</v>
      </c>
      <c r="I675">
        <v>4800</v>
      </c>
      <c r="J675">
        <v>4800</v>
      </c>
      <c r="K675" t="s">
        <v>31</v>
      </c>
      <c r="L675" t="s">
        <v>47</v>
      </c>
      <c r="M675" t="b">
        <v>0</v>
      </c>
      <c r="N675" t="s">
        <v>23</v>
      </c>
    </row>
    <row r="676" spans="1:14" x14ac:dyDescent="0.35">
      <c r="A676" t="s">
        <v>913</v>
      </c>
      <c r="B676" t="s">
        <v>338</v>
      </c>
      <c r="C676" t="s">
        <v>73</v>
      </c>
      <c r="D676" t="s">
        <v>43</v>
      </c>
      <c r="E676" t="s">
        <v>102</v>
      </c>
      <c r="F676" t="s">
        <v>29</v>
      </c>
      <c r="G676" t="s">
        <v>30</v>
      </c>
      <c r="H676">
        <v>3</v>
      </c>
      <c r="I676">
        <v>29900</v>
      </c>
      <c r="J676">
        <v>89700</v>
      </c>
      <c r="K676" t="s">
        <v>70</v>
      </c>
      <c r="L676" t="s">
        <v>39</v>
      </c>
      <c r="M676" t="b">
        <v>0</v>
      </c>
      <c r="N676" t="s">
        <v>33</v>
      </c>
    </row>
    <row r="677" spans="1:14" x14ac:dyDescent="0.35">
      <c r="A677" t="s">
        <v>914</v>
      </c>
      <c r="B677" t="s">
        <v>569</v>
      </c>
      <c r="C677" t="s">
        <v>50</v>
      </c>
      <c r="D677" t="s">
        <v>51</v>
      </c>
      <c r="E677" t="s">
        <v>60</v>
      </c>
      <c r="F677" t="s">
        <v>53</v>
      </c>
      <c r="G677" t="s">
        <v>30</v>
      </c>
      <c r="H677">
        <v>1</v>
      </c>
      <c r="I677">
        <v>7200</v>
      </c>
      <c r="J677">
        <v>7200</v>
      </c>
      <c r="K677" t="s">
        <v>70</v>
      </c>
      <c r="L677" t="s">
        <v>39</v>
      </c>
      <c r="M677" t="b">
        <v>0</v>
      </c>
      <c r="N677" t="s">
        <v>23</v>
      </c>
    </row>
    <row r="678" spans="1:14" x14ac:dyDescent="0.35">
      <c r="A678" t="s">
        <v>915</v>
      </c>
      <c r="B678" t="s">
        <v>456</v>
      </c>
      <c r="C678" t="s">
        <v>67</v>
      </c>
      <c r="D678" t="s">
        <v>59</v>
      </c>
      <c r="E678" t="s">
        <v>18</v>
      </c>
      <c r="F678" t="s">
        <v>19</v>
      </c>
      <c r="G678" t="s">
        <v>20</v>
      </c>
      <c r="H678">
        <v>2</v>
      </c>
      <c r="I678">
        <v>20500</v>
      </c>
      <c r="J678">
        <v>41000</v>
      </c>
      <c r="K678" t="s">
        <v>31</v>
      </c>
      <c r="L678" t="s">
        <v>47</v>
      </c>
      <c r="M678" t="b">
        <v>0</v>
      </c>
      <c r="N678" t="s">
        <v>23</v>
      </c>
    </row>
    <row r="679" spans="1:14" x14ac:dyDescent="0.35">
      <c r="A679" t="s">
        <v>916</v>
      </c>
      <c r="B679" t="s">
        <v>146</v>
      </c>
      <c r="C679" t="s">
        <v>42</v>
      </c>
      <c r="D679" t="s">
        <v>43</v>
      </c>
      <c r="E679" t="s">
        <v>102</v>
      </c>
      <c r="F679" t="s">
        <v>29</v>
      </c>
      <c r="G679" t="s">
        <v>30</v>
      </c>
      <c r="H679">
        <v>1</v>
      </c>
      <c r="I679">
        <v>29000</v>
      </c>
      <c r="J679">
        <v>29000</v>
      </c>
      <c r="K679" t="s">
        <v>54</v>
      </c>
      <c r="L679" t="s">
        <v>22</v>
      </c>
      <c r="M679" t="b">
        <v>0</v>
      </c>
      <c r="N679" t="s">
        <v>33</v>
      </c>
    </row>
    <row r="680" spans="1:14" x14ac:dyDescent="0.35">
      <c r="A680" t="s">
        <v>917</v>
      </c>
      <c r="B680" t="s">
        <v>49</v>
      </c>
      <c r="C680" t="s">
        <v>42</v>
      </c>
      <c r="D680" t="s">
        <v>43</v>
      </c>
      <c r="E680" t="s">
        <v>102</v>
      </c>
      <c r="F680" t="s">
        <v>29</v>
      </c>
      <c r="G680" t="s">
        <v>30</v>
      </c>
      <c r="H680">
        <v>1</v>
      </c>
      <c r="I680">
        <v>27800</v>
      </c>
      <c r="J680">
        <v>27800</v>
      </c>
      <c r="K680" t="s">
        <v>54</v>
      </c>
      <c r="L680" t="s">
        <v>55</v>
      </c>
      <c r="M680" t="b">
        <v>0</v>
      </c>
      <c r="N680" t="s">
        <v>23</v>
      </c>
    </row>
    <row r="681" spans="1:14" x14ac:dyDescent="0.35">
      <c r="A681" t="s">
        <v>918</v>
      </c>
      <c r="B681" t="s">
        <v>315</v>
      </c>
      <c r="C681" t="s">
        <v>73</v>
      </c>
      <c r="D681" t="s">
        <v>43</v>
      </c>
      <c r="E681" t="s">
        <v>102</v>
      </c>
      <c r="F681" t="s">
        <v>29</v>
      </c>
      <c r="G681" t="s">
        <v>30</v>
      </c>
      <c r="H681">
        <v>1</v>
      </c>
      <c r="I681">
        <v>27200</v>
      </c>
      <c r="J681">
        <v>27200</v>
      </c>
      <c r="K681" t="s">
        <v>54</v>
      </c>
      <c r="L681" t="s">
        <v>22</v>
      </c>
      <c r="M681" t="b">
        <v>0</v>
      </c>
      <c r="N681" t="s">
        <v>23</v>
      </c>
    </row>
    <row r="682" spans="1:14" x14ac:dyDescent="0.35">
      <c r="A682" t="s">
        <v>919</v>
      </c>
      <c r="B682" t="s">
        <v>192</v>
      </c>
      <c r="C682" t="s">
        <v>42</v>
      </c>
      <c r="D682" t="s">
        <v>43</v>
      </c>
      <c r="E682" t="s">
        <v>52</v>
      </c>
      <c r="F682" t="s">
        <v>53</v>
      </c>
      <c r="G682" t="s">
        <v>30</v>
      </c>
      <c r="H682">
        <v>1</v>
      </c>
      <c r="I682">
        <v>8300</v>
      </c>
      <c r="J682">
        <v>8300</v>
      </c>
      <c r="K682" t="s">
        <v>38</v>
      </c>
      <c r="L682" t="s">
        <v>32</v>
      </c>
      <c r="M682" t="b">
        <v>1</v>
      </c>
      <c r="N682" t="s">
        <v>23</v>
      </c>
    </row>
    <row r="683" spans="1:14" x14ac:dyDescent="0.35">
      <c r="A683" t="s">
        <v>920</v>
      </c>
      <c r="B683" t="s">
        <v>152</v>
      </c>
      <c r="C683" t="s">
        <v>16</v>
      </c>
      <c r="D683" t="s">
        <v>17</v>
      </c>
      <c r="E683" t="s">
        <v>18</v>
      </c>
      <c r="F683" t="s">
        <v>19</v>
      </c>
      <c r="G683" t="s">
        <v>20</v>
      </c>
      <c r="H683">
        <v>3</v>
      </c>
      <c r="I683">
        <v>20400</v>
      </c>
      <c r="J683">
        <v>61200</v>
      </c>
      <c r="K683" t="s">
        <v>54</v>
      </c>
      <c r="L683" t="s">
        <v>39</v>
      </c>
      <c r="M683" t="b">
        <v>0</v>
      </c>
      <c r="N683" t="s">
        <v>23</v>
      </c>
    </row>
    <row r="684" spans="1:14" x14ac:dyDescent="0.35">
      <c r="A684" t="s">
        <v>921</v>
      </c>
      <c r="B684" t="s">
        <v>224</v>
      </c>
      <c r="C684" t="s">
        <v>65</v>
      </c>
      <c r="D684" t="s">
        <v>27</v>
      </c>
      <c r="E684" t="s">
        <v>60</v>
      </c>
      <c r="F684" t="s">
        <v>53</v>
      </c>
      <c r="G684" t="s">
        <v>30</v>
      </c>
      <c r="H684">
        <v>1</v>
      </c>
      <c r="I684">
        <v>6700</v>
      </c>
      <c r="J684">
        <v>6700</v>
      </c>
      <c r="K684" t="s">
        <v>38</v>
      </c>
      <c r="L684" t="s">
        <v>88</v>
      </c>
      <c r="M684" t="b">
        <v>0</v>
      </c>
      <c r="N684" t="s">
        <v>23</v>
      </c>
    </row>
    <row r="685" spans="1:14" x14ac:dyDescent="0.35">
      <c r="A685" t="s">
        <v>922</v>
      </c>
      <c r="B685" t="s">
        <v>358</v>
      </c>
      <c r="C685" t="s">
        <v>67</v>
      </c>
      <c r="D685" t="s">
        <v>59</v>
      </c>
      <c r="E685" t="s">
        <v>18</v>
      </c>
      <c r="F685" t="s">
        <v>19</v>
      </c>
      <c r="G685" t="s">
        <v>30</v>
      </c>
      <c r="H685">
        <v>1</v>
      </c>
      <c r="I685">
        <v>20600</v>
      </c>
      <c r="J685">
        <v>20600</v>
      </c>
      <c r="K685" t="s">
        <v>21</v>
      </c>
      <c r="L685" t="s">
        <v>47</v>
      </c>
      <c r="M685" t="b">
        <v>0</v>
      </c>
      <c r="N685" t="s">
        <v>23</v>
      </c>
    </row>
    <row r="686" spans="1:14" x14ac:dyDescent="0.35">
      <c r="A686" t="s">
        <v>923</v>
      </c>
      <c r="B686" t="s">
        <v>546</v>
      </c>
      <c r="C686" t="s">
        <v>50</v>
      </c>
      <c r="D686" t="s">
        <v>51</v>
      </c>
      <c r="E686" t="s">
        <v>74</v>
      </c>
      <c r="F686" t="s">
        <v>75</v>
      </c>
      <c r="G686" t="s">
        <v>20</v>
      </c>
      <c r="H686">
        <v>4</v>
      </c>
      <c r="I686">
        <v>4700</v>
      </c>
      <c r="J686">
        <v>18800</v>
      </c>
      <c r="K686" t="s">
        <v>70</v>
      </c>
      <c r="L686" t="s">
        <v>88</v>
      </c>
      <c r="M686" t="b">
        <v>0</v>
      </c>
      <c r="N686" t="s">
        <v>23</v>
      </c>
    </row>
    <row r="687" spans="1:14" x14ac:dyDescent="0.35">
      <c r="A687" t="s">
        <v>924</v>
      </c>
      <c r="B687" t="s">
        <v>150</v>
      </c>
      <c r="C687" t="s">
        <v>42</v>
      </c>
      <c r="D687" t="s">
        <v>43</v>
      </c>
      <c r="E687" t="s">
        <v>94</v>
      </c>
      <c r="F687" t="s">
        <v>37</v>
      </c>
      <c r="G687" t="s">
        <v>20</v>
      </c>
      <c r="H687">
        <v>2</v>
      </c>
      <c r="I687">
        <v>18200</v>
      </c>
      <c r="J687">
        <v>36400</v>
      </c>
      <c r="K687" t="s">
        <v>70</v>
      </c>
      <c r="L687" t="s">
        <v>88</v>
      </c>
      <c r="M687" t="b">
        <v>0</v>
      </c>
      <c r="N687" t="s">
        <v>23</v>
      </c>
    </row>
    <row r="688" spans="1:14" x14ac:dyDescent="0.35">
      <c r="A688" t="s">
        <v>925</v>
      </c>
      <c r="B688" t="s">
        <v>192</v>
      </c>
      <c r="C688" t="s">
        <v>26</v>
      </c>
      <c r="D688" t="s">
        <v>27</v>
      </c>
      <c r="E688" t="s">
        <v>94</v>
      </c>
      <c r="F688" t="s">
        <v>37</v>
      </c>
      <c r="G688" t="s">
        <v>30</v>
      </c>
      <c r="H688">
        <v>1</v>
      </c>
      <c r="I688">
        <v>17600</v>
      </c>
      <c r="J688">
        <v>17600</v>
      </c>
      <c r="K688" t="s">
        <v>38</v>
      </c>
      <c r="L688" t="s">
        <v>32</v>
      </c>
      <c r="M688" t="b">
        <v>1</v>
      </c>
      <c r="N688" t="s">
        <v>23</v>
      </c>
    </row>
    <row r="689" spans="1:14" x14ac:dyDescent="0.35">
      <c r="A689" t="s">
        <v>926</v>
      </c>
      <c r="B689" t="s">
        <v>231</v>
      </c>
      <c r="C689" t="s">
        <v>58</v>
      </c>
      <c r="D689" t="s">
        <v>59</v>
      </c>
      <c r="E689" t="s">
        <v>44</v>
      </c>
      <c r="F689" t="s">
        <v>45</v>
      </c>
      <c r="G689" t="s">
        <v>30</v>
      </c>
      <c r="H689">
        <v>1</v>
      </c>
      <c r="I689">
        <v>28600</v>
      </c>
      <c r="J689">
        <v>28600</v>
      </c>
      <c r="K689" t="s">
        <v>46</v>
      </c>
      <c r="L689" t="s">
        <v>47</v>
      </c>
      <c r="M689" t="b">
        <v>0</v>
      </c>
      <c r="N689" t="s">
        <v>33</v>
      </c>
    </row>
    <row r="690" spans="1:14" x14ac:dyDescent="0.35">
      <c r="A690" t="s">
        <v>927</v>
      </c>
      <c r="B690" t="s">
        <v>87</v>
      </c>
      <c r="C690" t="s">
        <v>67</v>
      </c>
      <c r="D690" t="s">
        <v>59</v>
      </c>
      <c r="E690" t="s">
        <v>28</v>
      </c>
      <c r="F690" t="s">
        <v>29</v>
      </c>
      <c r="G690" t="s">
        <v>30</v>
      </c>
      <c r="H690">
        <v>1</v>
      </c>
      <c r="I690">
        <v>117000</v>
      </c>
      <c r="J690">
        <v>117000</v>
      </c>
      <c r="K690" t="s">
        <v>70</v>
      </c>
      <c r="L690" t="s">
        <v>88</v>
      </c>
      <c r="M690" t="b">
        <v>0</v>
      </c>
      <c r="N690" t="s">
        <v>33</v>
      </c>
    </row>
    <row r="691" spans="1:14" x14ac:dyDescent="0.35">
      <c r="A691" t="s">
        <v>928</v>
      </c>
      <c r="B691" t="s">
        <v>701</v>
      </c>
      <c r="C691" t="s">
        <v>65</v>
      </c>
      <c r="D691" t="s">
        <v>27</v>
      </c>
      <c r="E691" t="s">
        <v>80</v>
      </c>
      <c r="F691" t="s">
        <v>81</v>
      </c>
      <c r="G691" t="s">
        <v>20</v>
      </c>
      <c r="H691">
        <v>4</v>
      </c>
      <c r="I691">
        <v>11200</v>
      </c>
      <c r="J691">
        <v>44800</v>
      </c>
      <c r="K691" t="s">
        <v>38</v>
      </c>
      <c r="L691" t="s">
        <v>47</v>
      </c>
      <c r="M691" t="b">
        <v>0</v>
      </c>
      <c r="N691" t="s">
        <v>23</v>
      </c>
    </row>
    <row r="692" spans="1:14" x14ac:dyDescent="0.35">
      <c r="A692" t="s">
        <v>929</v>
      </c>
      <c r="B692" t="s">
        <v>229</v>
      </c>
      <c r="C692" t="s">
        <v>67</v>
      </c>
      <c r="D692" t="s">
        <v>59</v>
      </c>
      <c r="E692" t="s">
        <v>74</v>
      </c>
      <c r="F692" t="s">
        <v>75</v>
      </c>
      <c r="G692" t="s">
        <v>30</v>
      </c>
      <c r="H692">
        <v>1</v>
      </c>
      <c r="I692">
        <v>4400</v>
      </c>
      <c r="J692">
        <v>4400</v>
      </c>
      <c r="K692" t="s">
        <v>70</v>
      </c>
      <c r="L692" t="s">
        <v>55</v>
      </c>
      <c r="M692" t="b">
        <v>0</v>
      </c>
      <c r="N692" t="s">
        <v>23</v>
      </c>
    </row>
    <row r="693" spans="1:14" x14ac:dyDescent="0.35">
      <c r="A693" t="s">
        <v>930</v>
      </c>
      <c r="B693" t="s">
        <v>57</v>
      </c>
      <c r="C693" t="s">
        <v>16</v>
      </c>
      <c r="D693" t="s">
        <v>17</v>
      </c>
      <c r="E693" t="s">
        <v>120</v>
      </c>
      <c r="F693" t="s">
        <v>45</v>
      </c>
      <c r="G693" t="s">
        <v>30</v>
      </c>
      <c r="H693">
        <v>4</v>
      </c>
      <c r="I693">
        <v>56100</v>
      </c>
      <c r="J693">
        <v>224400</v>
      </c>
      <c r="K693" t="s">
        <v>31</v>
      </c>
      <c r="L693" t="s">
        <v>55</v>
      </c>
      <c r="M693" t="b">
        <v>0</v>
      </c>
      <c r="N693" t="s">
        <v>33</v>
      </c>
    </row>
    <row r="694" spans="1:14" x14ac:dyDescent="0.35">
      <c r="A694" t="s">
        <v>931</v>
      </c>
      <c r="B694" t="s">
        <v>714</v>
      </c>
      <c r="C694" t="s">
        <v>50</v>
      </c>
      <c r="D694" t="s">
        <v>51</v>
      </c>
      <c r="E694" t="s">
        <v>74</v>
      </c>
      <c r="F694" t="s">
        <v>75</v>
      </c>
      <c r="G694" t="s">
        <v>20</v>
      </c>
      <c r="H694">
        <v>2</v>
      </c>
      <c r="I694">
        <v>4600</v>
      </c>
      <c r="J694">
        <v>9200</v>
      </c>
      <c r="K694" t="s">
        <v>46</v>
      </c>
      <c r="L694" t="s">
        <v>55</v>
      </c>
      <c r="M694" t="b">
        <v>0</v>
      </c>
      <c r="N694" t="s">
        <v>23</v>
      </c>
    </row>
    <row r="695" spans="1:14" x14ac:dyDescent="0.35">
      <c r="A695" t="s">
        <v>932</v>
      </c>
      <c r="B695" t="s">
        <v>291</v>
      </c>
      <c r="C695" t="s">
        <v>73</v>
      </c>
      <c r="D695" t="s">
        <v>43</v>
      </c>
      <c r="E695" t="s">
        <v>120</v>
      </c>
      <c r="F695" t="s">
        <v>45</v>
      </c>
      <c r="G695" t="s">
        <v>20</v>
      </c>
      <c r="H695">
        <v>1</v>
      </c>
      <c r="I695">
        <v>51700</v>
      </c>
      <c r="J695">
        <v>51700</v>
      </c>
      <c r="K695" t="s">
        <v>21</v>
      </c>
      <c r="L695" t="s">
        <v>32</v>
      </c>
      <c r="M695" t="b">
        <v>1</v>
      </c>
      <c r="N695" t="s">
        <v>33</v>
      </c>
    </row>
    <row r="696" spans="1:14" x14ac:dyDescent="0.35">
      <c r="A696" t="s">
        <v>933</v>
      </c>
      <c r="B696" t="s">
        <v>662</v>
      </c>
      <c r="C696" t="s">
        <v>42</v>
      </c>
      <c r="D696" t="s">
        <v>43</v>
      </c>
      <c r="E696" t="s">
        <v>120</v>
      </c>
      <c r="F696" t="s">
        <v>45</v>
      </c>
      <c r="G696" t="s">
        <v>30</v>
      </c>
      <c r="H696">
        <v>1</v>
      </c>
      <c r="I696">
        <v>54100</v>
      </c>
      <c r="J696">
        <v>54100</v>
      </c>
      <c r="K696" t="s">
        <v>21</v>
      </c>
      <c r="L696" t="s">
        <v>39</v>
      </c>
      <c r="M696" t="b">
        <v>0</v>
      </c>
      <c r="N696" t="s">
        <v>33</v>
      </c>
    </row>
    <row r="697" spans="1:14" x14ac:dyDescent="0.35">
      <c r="A697" t="s">
        <v>934</v>
      </c>
      <c r="B697" t="s">
        <v>305</v>
      </c>
      <c r="C697" t="s">
        <v>50</v>
      </c>
      <c r="D697" t="s">
        <v>51</v>
      </c>
      <c r="E697" t="s">
        <v>28</v>
      </c>
      <c r="F697" t="s">
        <v>29</v>
      </c>
      <c r="G697" t="s">
        <v>20</v>
      </c>
      <c r="H697">
        <v>1</v>
      </c>
      <c r="I697">
        <v>107100</v>
      </c>
      <c r="J697">
        <v>107100</v>
      </c>
      <c r="K697" t="s">
        <v>21</v>
      </c>
      <c r="L697" t="s">
        <v>55</v>
      </c>
      <c r="M697" t="b">
        <v>0</v>
      </c>
      <c r="N697" t="s">
        <v>33</v>
      </c>
    </row>
    <row r="698" spans="1:14" x14ac:dyDescent="0.35">
      <c r="A698" t="s">
        <v>935</v>
      </c>
      <c r="B698" t="s">
        <v>342</v>
      </c>
      <c r="C698" t="s">
        <v>16</v>
      </c>
      <c r="D698" t="s">
        <v>17</v>
      </c>
      <c r="E698" t="s">
        <v>44</v>
      </c>
      <c r="F698" t="s">
        <v>45</v>
      </c>
      <c r="G698" t="s">
        <v>20</v>
      </c>
      <c r="H698">
        <v>4</v>
      </c>
      <c r="I698">
        <v>25400</v>
      </c>
      <c r="J698">
        <v>101600</v>
      </c>
      <c r="K698" t="s">
        <v>54</v>
      </c>
      <c r="L698" t="s">
        <v>47</v>
      </c>
      <c r="M698" t="b">
        <v>0</v>
      </c>
      <c r="N698" t="s">
        <v>23</v>
      </c>
    </row>
    <row r="699" spans="1:14" x14ac:dyDescent="0.35">
      <c r="A699" t="s">
        <v>936</v>
      </c>
      <c r="B699" t="s">
        <v>287</v>
      </c>
      <c r="C699" t="s">
        <v>50</v>
      </c>
      <c r="D699" t="s">
        <v>51</v>
      </c>
      <c r="E699" t="s">
        <v>94</v>
      </c>
      <c r="F699" t="s">
        <v>37</v>
      </c>
      <c r="G699" t="s">
        <v>30</v>
      </c>
      <c r="H699">
        <v>1</v>
      </c>
      <c r="I699">
        <v>18200</v>
      </c>
      <c r="J699">
        <v>18200</v>
      </c>
      <c r="K699" t="s">
        <v>38</v>
      </c>
      <c r="L699" t="s">
        <v>32</v>
      </c>
      <c r="M699" t="b">
        <v>1</v>
      </c>
      <c r="N699" t="s">
        <v>23</v>
      </c>
    </row>
    <row r="700" spans="1:14" x14ac:dyDescent="0.35">
      <c r="A700" t="s">
        <v>937</v>
      </c>
      <c r="B700" t="s">
        <v>725</v>
      </c>
      <c r="C700" t="s">
        <v>26</v>
      </c>
      <c r="D700" t="s">
        <v>27</v>
      </c>
      <c r="E700" t="s">
        <v>44</v>
      </c>
      <c r="F700" t="s">
        <v>45</v>
      </c>
      <c r="G700" t="s">
        <v>30</v>
      </c>
      <c r="H700">
        <v>1</v>
      </c>
      <c r="I700">
        <v>29700</v>
      </c>
      <c r="J700">
        <v>29700</v>
      </c>
      <c r="K700" t="s">
        <v>46</v>
      </c>
      <c r="L700" t="s">
        <v>109</v>
      </c>
      <c r="M700" t="b">
        <v>1</v>
      </c>
      <c r="N700" t="s">
        <v>33</v>
      </c>
    </row>
    <row r="701" spans="1:14" x14ac:dyDescent="0.35">
      <c r="A701" t="s">
        <v>938</v>
      </c>
      <c r="B701" t="s">
        <v>203</v>
      </c>
      <c r="C701" t="s">
        <v>26</v>
      </c>
      <c r="D701" t="s">
        <v>27</v>
      </c>
      <c r="E701" t="s">
        <v>74</v>
      </c>
      <c r="F701" t="s">
        <v>75</v>
      </c>
      <c r="G701" t="s">
        <v>30</v>
      </c>
      <c r="H701">
        <v>3</v>
      </c>
      <c r="I701">
        <v>4600</v>
      </c>
      <c r="J701">
        <v>13800</v>
      </c>
      <c r="K701" t="s">
        <v>70</v>
      </c>
      <c r="L701" t="s">
        <v>55</v>
      </c>
      <c r="M701" t="b">
        <v>0</v>
      </c>
      <c r="N701" t="s">
        <v>23</v>
      </c>
    </row>
    <row r="702" spans="1:14" x14ac:dyDescent="0.35">
      <c r="A702" t="s">
        <v>939</v>
      </c>
      <c r="B702" t="s">
        <v>205</v>
      </c>
      <c r="C702" t="s">
        <v>42</v>
      </c>
      <c r="D702" t="s">
        <v>43</v>
      </c>
      <c r="E702" t="s">
        <v>74</v>
      </c>
      <c r="F702" t="s">
        <v>75</v>
      </c>
      <c r="G702" t="s">
        <v>30</v>
      </c>
      <c r="H702">
        <v>2</v>
      </c>
      <c r="I702">
        <v>4700</v>
      </c>
      <c r="J702">
        <v>9400</v>
      </c>
      <c r="K702" t="s">
        <v>38</v>
      </c>
      <c r="L702" t="s">
        <v>22</v>
      </c>
      <c r="M702" t="b">
        <v>0</v>
      </c>
      <c r="N702" t="s">
        <v>23</v>
      </c>
    </row>
    <row r="703" spans="1:14" x14ac:dyDescent="0.35">
      <c r="A703" t="s">
        <v>940</v>
      </c>
      <c r="B703" t="s">
        <v>264</v>
      </c>
      <c r="C703" t="s">
        <v>42</v>
      </c>
      <c r="D703" t="s">
        <v>43</v>
      </c>
      <c r="E703" t="s">
        <v>94</v>
      </c>
      <c r="F703" t="s">
        <v>37</v>
      </c>
      <c r="G703" t="s">
        <v>20</v>
      </c>
      <c r="H703">
        <v>1</v>
      </c>
      <c r="I703">
        <v>19900</v>
      </c>
      <c r="J703">
        <v>19900</v>
      </c>
      <c r="K703" t="s">
        <v>54</v>
      </c>
      <c r="L703" t="s">
        <v>32</v>
      </c>
      <c r="M703" t="b">
        <v>1</v>
      </c>
      <c r="N703" t="s">
        <v>23</v>
      </c>
    </row>
    <row r="704" spans="1:14" x14ac:dyDescent="0.35">
      <c r="A704" t="s">
        <v>941</v>
      </c>
      <c r="B704" t="s">
        <v>364</v>
      </c>
      <c r="C704" t="s">
        <v>42</v>
      </c>
      <c r="D704" t="s">
        <v>43</v>
      </c>
      <c r="E704" t="s">
        <v>74</v>
      </c>
      <c r="F704" t="s">
        <v>75</v>
      </c>
      <c r="G704" t="s">
        <v>30</v>
      </c>
      <c r="H704">
        <v>1</v>
      </c>
      <c r="I704">
        <v>4200</v>
      </c>
      <c r="J704">
        <v>4200</v>
      </c>
      <c r="K704" t="s">
        <v>21</v>
      </c>
      <c r="L704" t="s">
        <v>88</v>
      </c>
      <c r="M704" t="b">
        <v>0</v>
      </c>
      <c r="N704" t="s">
        <v>23</v>
      </c>
    </row>
    <row r="705" spans="1:14" x14ac:dyDescent="0.35">
      <c r="A705" t="s">
        <v>942</v>
      </c>
      <c r="B705" t="s">
        <v>470</v>
      </c>
      <c r="C705" t="s">
        <v>58</v>
      </c>
      <c r="D705" t="s">
        <v>59</v>
      </c>
      <c r="E705" t="s">
        <v>80</v>
      </c>
      <c r="F705" t="s">
        <v>81</v>
      </c>
      <c r="G705" t="s">
        <v>30</v>
      </c>
      <c r="H705">
        <v>2</v>
      </c>
      <c r="I705">
        <v>11400</v>
      </c>
      <c r="J705">
        <v>22800</v>
      </c>
      <c r="K705" t="s">
        <v>31</v>
      </c>
      <c r="L705" t="s">
        <v>55</v>
      </c>
      <c r="M705" t="b">
        <v>0</v>
      </c>
      <c r="N705" t="s">
        <v>23</v>
      </c>
    </row>
    <row r="706" spans="1:14" x14ac:dyDescent="0.35">
      <c r="A706" t="s">
        <v>943</v>
      </c>
      <c r="B706" t="s">
        <v>944</v>
      </c>
      <c r="C706" t="s">
        <v>67</v>
      </c>
      <c r="D706" t="s">
        <v>59</v>
      </c>
      <c r="E706" t="s">
        <v>94</v>
      </c>
      <c r="F706" t="s">
        <v>37</v>
      </c>
      <c r="G706" t="s">
        <v>30</v>
      </c>
      <c r="H706">
        <v>2</v>
      </c>
      <c r="I706">
        <v>17500</v>
      </c>
      <c r="J706">
        <v>35000</v>
      </c>
      <c r="K706" t="s">
        <v>21</v>
      </c>
      <c r="L706" t="s">
        <v>88</v>
      </c>
      <c r="M706" t="b">
        <v>0</v>
      </c>
      <c r="N706" t="s">
        <v>23</v>
      </c>
    </row>
    <row r="707" spans="1:14" x14ac:dyDescent="0.35">
      <c r="A707" t="s">
        <v>945</v>
      </c>
      <c r="B707" t="s">
        <v>91</v>
      </c>
      <c r="C707" t="s">
        <v>65</v>
      </c>
      <c r="D707" t="s">
        <v>27</v>
      </c>
      <c r="E707" t="s">
        <v>36</v>
      </c>
      <c r="F707" t="s">
        <v>37</v>
      </c>
      <c r="G707" t="s">
        <v>30</v>
      </c>
      <c r="H707">
        <v>3</v>
      </c>
      <c r="I707">
        <v>40000</v>
      </c>
      <c r="J707">
        <v>120000</v>
      </c>
      <c r="K707" t="s">
        <v>21</v>
      </c>
      <c r="L707" t="s">
        <v>55</v>
      </c>
      <c r="M707" t="b">
        <v>0</v>
      </c>
      <c r="N707" t="s">
        <v>33</v>
      </c>
    </row>
    <row r="708" spans="1:14" x14ac:dyDescent="0.35">
      <c r="A708" t="s">
        <v>946</v>
      </c>
      <c r="B708" t="s">
        <v>241</v>
      </c>
      <c r="C708" t="s">
        <v>58</v>
      </c>
      <c r="D708" t="s">
        <v>59</v>
      </c>
      <c r="E708" t="s">
        <v>44</v>
      </c>
      <c r="F708" t="s">
        <v>45</v>
      </c>
      <c r="G708" t="s">
        <v>30</v>
      </c>
      <c r="H708">
        <v>4</v>
      </c>
      <c r="I708">
        <v>28400</v>
      </c>
      <c r="J708">
        <v>113600</v>
      </c>
      <c r="K708" t="s">
        <v>31</v>
      </c>
      <c r="L708" t="s">
        <v>39</v>
      </c>
      <c r="M708" t="b">
        <v>0</v>
      </c>
      <c r="N708" t="s">
        <v>33</v>
      </c>
    </row>
    <row r="709" spans="1:14" x14ac:dyDescent="0.35">
      <c r="A709" t="s">
        <v>947</v>
      </c>
      <c r="B709" t="s">
        <v>540</v>
      </c>
      <c r="C709" t="s">
        <v>65</v>
      </c>
      <c r="D709" t="s">
        <v>27</v>
      </c>
      <c r="E709" t="s">
        <v>52</v>
      </c>
      <c r="F709" t="s">
        <v>53</v>
      </c>
      <c r="G709" t="s">
        <v>20</v>
      </c>
      <c r="H709">
        <v>1</v>
      </c>
      <c r="I709">
        <v>8100</v>
      </c>
      <c r="J709">
        <v>8100</v>
      </c>
      <c r="K709" t="s">
        <v>46</v>
      </c>
      <c r="L709" t="s">
        <v>22</v>
      </c>
      <c r="M709" t="b">
        <v>0</v>
      </c>
      <c r="N709" t="s">
        <v>23</v>
      </c>
    </row>
    <row r="710" spans="1:14" x14ac:dyDescent="0.35">
      <c r="A710" t="s">
        <v>948</v>
      </c>
      <c r="B710" t="s">
        <v>543</v>
      </c>
      <c r="C710" t="s">
        <v>73</v>
      </c>
      <c r="D710" t="s">
        <v>43</v>
      </c>
      <c r="E710" t="s">
        <v>60</v>
      </c>
      <c r="F710" t="s">
        <v>53</v>
      </c>
      <c r="G710" t="s">
        <v>30</v>
      </c>
      <c r="H710">
        <v>1</v>
      </c>
      <c r="I710">
        <v>7100</v>
      </c>
      <c r="J710">
        <v>7100</v>
      </c>
      <c r="K710" t="s">
        <v>31</v>
      </c>
      <c r="L710" t="s">
        <v>88</v>
      </c>
      <c r="M710" t="b">
        <v>0</v>
      </c>
      <c r="N710" t="s">
        <v>23</v>
      </c>
    </row>
    <row r="711" spans="1:14" x14ac:dyDescent="0.35">
      <c r="A711" t="s">
        <v>949</v>
      </c>
      <c r="B711" t="s">
        <v>360</v>
      </c>
      <c r="C711" t="s">
        <v>16</v>
      </c>
      <c r="D711" t="s">
        <v>17</v>
      </c>
      <c r="E711" t="s">
        <v>36</v>
      </c>
      <c r="F711" t="s">
        <v>37</v>
      </c>
      <c r="G711" t="s">
        <v>20</v>
      </c>
      <c r="H711">
        <v>1</v>
      </c>
      <c r="I711">
        <v>43300</v>
      </c>
      <c r="J711">
        <v>43300</v>
      </c>
      <c r="K711" t="s">
        <v>21</v>
      </c>
      <c r="L711" t="s">
        <v>88</v>
      </c>
      <c r="M711" t="b">
        <v>0</v>
      </c>
      <c r="N711" t="s">
        <v>33</v>
      </c>
    </row>
    <row r="712" spans="1:14" x14ac:dyDescent="0.35">
      <c r="A712" t="s">
        <v>950</v>
      </c>
      <c r="B712" t="s">
        <v>178</v>
      </c>
      <c r="C712" t="s">
        <v>73</v>
      </c>
      <c r="D712" t="s">
        <v>43</v>
      </c>
      <c r="E712" t="s">
        <v>28</v>
      </c>
      <c r="F712" t="s">
        <v>29</v>
      </c>
      <c r="G712" t="s">
        <v>20</v>
      </c>
      <c r="H712">
        <v>2</v>
      </c>
      <c r="I712">
        <v>112800</v>
      </c>
      <c r="J712">
        <v>225600</v>
      </c>
      <c r="K712" t="s">
        <v>38</v>
      </c>
      <c r="L712" t="s">
        <v>47</v>
      </c>
      <c r="M712" t="b">
        <v>0</v>
      </c>
      <c r="N712" t="s">
        <v>33</v>
      </c>
    </row>
    <row r="713" spans="1:14" x14ac:dyDescent="0.35">
      <c r="A713" t="s">
        <v>951</v>
      </c>
      <c r="B713" t="s">
        <v>352</v>
      </c>
      <c r="C713" t="s">
        <v>67</v>
      </c>
      <c r="D713" t="s">
        <v>59</v>
      </c>
      <c r="E713" t="s">
        <v>44</v>
      </c>
      <c r="F713" t="s">
        <v>45</v>
      </c>
      <c r="G713" t="s">
        <v>20</v>
      </c>
      <c r="H713">
        <v>3</v>
      </c>
      <c r="I713">
        <v>26000</v>
      </c>
      <c r="J713">
        <v>78000</v>
      </c>
      <c r="K713" t="s">
        <v>54</v>
      </c>
      <c r="L713" t="s">
        <v>22</v>
      </c>
      <c r="M713" t="b">
        <v>0</v>
      </c>
      <c r="N713" t="s">
        <v>23</v>
      </c>
    </row>
    <row r="714" spans="1:14" x14ac:dyDescent="0.35">
      <c r="A714" t="s">
        <v>952</v>
      </c>
      <c r="B714" t="s">
        <v>379</v>
      </c>
      <c r="C714" t="s">
        <v>73</v>
      </c>
      <c r="D714" t="s">
        <v>43</v>
      </c>
      <c r="E714" t="s">
        <v>44</v>
      </c>
      <c r="F714" t="s">
        <v>45</v>
      </c>
      <c r="G714" t="s">
        <v>30</v>
      </c>
      <c r="H714">
        <v>1</v>
      </c>
      <c r="I714">
        <v>28300</v>
      </c>
      <c r="J714">
        <v>28300</v>
      </c>
      <c r="K714" t="s">
        <v>38</v>
      </c>
      <c r="L714" t="s">
        <v>55</v>
      </c>
      <c r="M714" t="b">
        <v>0</v>
      </c>
      <c r="N714" t="s">
        <v>33</v>
      </c>
    </row>
    <row r="715" spans="1:14" x14ac:dyDescent="0.35">
      <c r="A715" t="s">
        <v>953</v>
      </c>
      <c r="B715" t="s">
        <v>245</v>
      </c>
      <c r="C715" t="s">
        <v>26</v>
      </c>
      <c r="D715" t="s">
        <v>27</v>
      </c>
      <c r="E715" t="s">
        <v>97</v>
      </c>
      <c r="F715" t="s">
        <v>29</v>
      </c>
      <c r="G715" t="s">
        <v>30</v>
      </c>
      <c r="H715">
        <v>1</v>
      </c>
      <c r="I715">
        <v>34200</v>
      </c>
      <c r="J715">
        <v>34200</v>
      </c>
      <c r="K715" t="s">
        <v>31</v>
      </c>
      <c r="L715" t="s">
        <v>22</v>
      </c>
      <c r="M715" t="b">
        <v>0</v>
      </c>
      <c r="N715" t="s">
        <v>33</v>
      </c>
    </row>
    <row r="716" spans="1:14" x14ac:dyDescent="0.35">
      <c r="A716" t="s">
        <v>954</v>
      </c>
      <c r="B716" t="s">
        <v>229</v>
      </c>
      <c r="C716" t="s">
        <v>42</v>
      </c>
      <c r="D716" t="s">
        <v>43</v>
      </c>
      <c r="E716" t="s">
        <v>52</v>
      </c>
      <c r="F716" t="s">
        <v>53</v>
      </c>
      <c r="G716" t="s">
        <v>20</v>
      </c>
      <c r="H716">
        <v>2</v>
      </c>
      <c r="I716">
        <v>8500</v>
      </c>
      <c r="J716">
        <v>17000</v>
      </c>
      <c r="K716" t="s">
        <v>70</v>
      </c>
      <c r="L716" t="s">
        <v>55</v>
      </c>
      <c r="M716" t="b">
        <v>0</v>
      </c>
      <c r="N716" t="s">
        <v>23</v>
      </c>
    </row>
    <row r="717" spans="1:14" x14ac:dyDescent="0.35">
      <c r="A717" t="s">
        <v>955</v>
      </c>
      <c r="B717" t="s">
        <v>205</v>
      </c>
      <c r="C717" t="s">
        <v>16</v>
      </c>
      <c r="D717" t="s">
        <v>17</v>
      </c>
      <c r="E717" t="s">
        <v>60</v>
      </c>
      <c r="F717" t="s">
        <v>53</v>
      </c>
      <c r="G717" t="s">
        <v>30</v>
      </c>
      <c r="H717">
        <v>1</v>
      </c>
      <c r="I717">
        <v>7000</v>
      </c>
      <c r="J717">
        <v>7000</v>
      </c>
      <c r="K717" t="s">
        <v>38</v>
      </c>
      <c r="L717" t="s">
        <v>22</v>
      </c>
      <c r="M717" t="b">
        <v>0</v>
      </c>
      <c r="N717" t="s">
        <v>23</v>
      </c>
    </row>
    <row r="718" spans="1:14" x14ac:dyDescent="0.35">
      <c r="A718" t="s">
        <v>956</v>
      </c>
      <c r="B718" t="s">
        <v>239</v>
      </c>
      <c r="C718" t="s">
        <v>58</v>
      </c>
      <c r="D718" t="s">
        <v>59</v>
      </c>
      <c r="E718" t="s">
        <v>52</v>
      </c>
      <c r="F718" t="s">
        <v>53</v>
      </c>
      <c r="G718" t="s">
        <v>30</v>
      </c>
      <c r="H718">
        <v>1</v>
      </c>
      <c r="I718">
        <v>8800</v>
      </c>
      <c r="J718">
        <v>8800</v>
      </c>
      <c r="K718" t="s">
        <v>21</v>
      </c>
      <c r="L718" t="s">
        <v>22</v>
      </c>
      <c r="M718" t="b">
        <v>0</v>
      </c>
      <c r="N718" t="s">
        <v>23</v>
      </c>
    </row>
    <row r="719" spans="1:14" x14ac:dyDescent="0.35">
      <c r="A719" t="s">
        <v>957</v>
      </c>
      <c r="B719" t="s">
        <v>484</v>
      </c>
      <c r="C719" t="s">
        <v>65</v>
      </c>
      <c r="D719" t="s">
        <v>27</v>
      </c>
      <c r="E719" t="s">
        <v>97</v>
      </c>
      <c r="F719" t="s">
        <v>29</v>
      </c>
      <c r="G719" t="s">
        <v>30</v>
      </c>
      <c r="H719">
        <v>4</v>
      </c>
      <c r="I719">
        <v>32100</v>
      </c>
      <c r="J719">
        <v>128400</v>
      </c>
      <c r="K719" t="s">
        <v>21</v>
      </c>
      <c r="L719" t="s">
        <v>22</v>
      </c>
      <c r="M719" t="b">
        <v>0</v>
      </c>
      <c r="N719" t="s">
        <v>33</v>
      </c>
    </row>
    <row r="720" spans="1:14" x14ac:dyDescent="0.35">
      <c r="A720" t="s">
        <v>958</v>
      </c>
      <c r="B720" t="s">
        <v>72</v>
      </c>
      <c r="C720" t="s">
        <v>65</v>
      </c>
      <c r="D720" t="s">
        <v>27</v>
      </c>
      <c r="E720" t="s">
        <v>97</v>
      </c>
      <c r="F720" t="s">
        <v>29</v>
      </c>
      <c r="G720" t="s">
        <v>30</v>
      </c>
      <c r="H720">
        <v>2</v>
      </c>
      <c r="I720">
        <v>31200</v>
      </c>
      <c r="J720">
        <v>62400</v>
      </c>
      <c r="K720" t="s">
        <v>38</v>
      </c>
      <c r="L720" t="s">
        <v>22</v>
      </c>
      <c r="M720" t="b">
        <v>0</v>
      </c>
      <c r="N720" t="s">
        <v>33</v>
      </c>
    </row>
    <row r="721" spans="1:14" x14ac:dyDescent="0.35">
      <c r="A721" t="s">
        <v>959</v>
      </c>
      <c r="B721" t="s">
        <v>83</v>
      </c>
      <c r="C721" t="s">
        <v>67</v>
      </c>
      <c r="D721" t="s">
        <v>59</v>
      </c>
      <c r="E721" t="s">
        <v>120</v>
      </c>
      <c r="F721" t="s">
        <v>45</v>
      </c>
      <c r="G721" t="s">
        <v>30</v>
      </c>
      <c r="H721">
        <v>1</v>
      </c>
      <c r="I721">
        <v>55200</v>
      </c>
      <c r="J721">
        <v>55200</v>
      </c>
      <c r="K721" t="s">
        <v>21</v>
      </c>
      <c r="L721" t="s">
        <v>47</v>
      </c>
      <c r="M721" t="b">
        <v>0</v>
      </c>
      <c r="N721" t="s">
        <v>33</v>
      </c>
    </row>
    <row r="722" spans="1:14" x14ac:dyDescent="0.35">
      <c r="A722" t="s">
        <v>960</v>
      </c>
      <c r="B722" t="s">
        <v>338</v>
      </c>
      <c r="C722" t="s">
        <v>50</v>
      </c>
      <c r="D722" t="s">
        <v>51</v>
      </c>
      <c r="E722" t="s">
        <v>120</v>
      </c>
      <c r="F722" t="s">
        <v>45</v>
      </c>
      <c r="G722" t="s">
        <v>20</v>
      </c>
      <c r="H722">
        <v>1</v>
      </c>
      <c r="I722">
        <v>53600</v>
      </c>
      <c r="J722">
        <v>53600</v>
      </c>
      <c r="K722" t="s">
        <v>70</v>
      </c>
      <c r="L722" t="s">
        <v>39</v>
      </c>
      <c r="M722" t="b">
        <v>0</v>
      </c>
      <c r="N722" t="s">
        <v>33</v>
      </c>
    </row>
    <row r="723" spans="1:14" x14ac:dyDescent="0.35">
      <c r="A723" t="s">
        <v>961</v>
      </c>
      <c r="B723" t="s">
        <v>310</v>
      </c>
      <c r="C723" t="s">
        <v>58</v>
      </c>
      <c r="D723" t="s">
        <v>59</v>
      </c>
      <c r="E723" t="s">
        <v>44</v>
      </c>
      <c r="F723" t="s">
        <v>45</v>
      </c>
      <c r="G723" t="s">
        <v>20</v>
      </c>
      <c r="H723">
        <v>1</v>
      </c>
      <c r="I723">
        <v>26700</v>
      </c>
      <c r="J723">
        <v>26700</v>
      </c>
      <c r="K723" t="s">
        <v>54</v>
      </c>
      <c r="L723" t="s">
        <v>109</v>
      </c>
      <c r="M723" t="b">
        <v>1</v>
      </c>
      <c r="N723" t="s">
        <v>23</v>
      </c>
    </row>
    <row r="724" spans="1:14" x14ac:dyDescent="0.35">
      <c r="A724" t="s">
        <v>962</v>
      </c>
      <c r="B724" t="s">
        <v>62</v>
      </c>
      <c r="C724" t="s">
        <v>26</v>
      </c>
      <c r="D724" t="s">
        <v>27</v>
      </c>
      <c r="E724" t="s">
        <v>28</v>
      </c>
      <c r="F724" t="s">
        <v>29</v>
      </c>
      <c r="G724" t="s">
        <v>30</v>
      </c>
      <c r="H724">
        <v>3</v>
      </c>
      <c r="I724">
        <v>117600</v>
      </c>
      <c r="J724">
        <v>352800</v>
      </c>
      <c r="K724" t="s">
        <v>31</v>
      </c>
      <c r="L724" t="s">
        <v>32</v>
      </c>
      <c r="M724" t="b">
        <v>1</v>
      </c>
      <c r="N724" t="s">
        <v>33</v>
      </c>
    </row>
    <row r="725" spans="1:14" x14ac:dyDescent="0.35">
      <c r="A725" t="s">
        <v>963</v>
      </c>
      <c r="B725" t="s">
        <v>694</v>
      </c>
      <c r="C725" t="s">
        <v>73</v>
      </c>
      <c r="D725" t="s">
        <v>43</v>
      </c>
      <c r="E725" t="s">
        <v>28</v>
      </c>
      <c r="F725" t="s">
        <v>29</v>
      </c>
      <c r="G725" t="s">
        <v>20</v>
      </c>
      <c r="H725">
        <v>2</v>
      </c>
      <c r="I725">
        <v>106200</v>
      </c>
      <c r="J725">
        <v>212400</v>
      </c>
      <c r="K725" t="s">
        <v>54</v>
      </c>
      <c r="L725" t="s">
        <v>39</v>
      </c>
      <c r="M725" t="b">
        <v>0</v>
      </c>
      <c r="N725" t="s">
        <v>33</v>
      </c>
    </row>
    <row r="726" spans="1:14" x14ac:dyDescent="0.35">
      <c r="A726" t="s">
        <v>964</v>
      </c>
      <c r="B726" t="s">
        <v>714</v>
      </c>
      <c r="C726" t="s">
        <v>50</v>
      </c>
      <c r="D726" t="s">
        <v>51</v>
      </c>
      <c r="E726" t="s">
        <v>97</v>
      </c>
      <c r="F726" t="s">
        <v>29</v>
      </c>
      <c r="G726" t="s">
        <v>30</v>
      </c>
      <c r="H726">
        <v>2</v>
      </c>
      <c r="I726">
        <v>32200</v>
      </c>
      <c r="J726">
        <v>64400</v>
      </c>
      <c r="K726" t="s">
        <v>46</v>
      </c>
      <c r="L726" t="s">
        <v>55</v>
      </c>
      <c r="M726" t="b">
        <v>0</v>
      </c>
      <c r="N726" t="s">
        <v>33</v>
      </c>
    </row>
    <row r="727" spans="1:14" x14ac:dyDescent="0.35">
      <c r="A727" t="s">
        <v>965</v>
      </c>
      <c r="B727" t="s">
        <v>136</v>
      </c>
      <c r="C727" t="s">
        <v>26</v>
      </c>
      <c r="D727" t="s">
        <v>27</v>
      </c>
      <c r="E727" t="s">
        <v>74</v>
      </c>
      <c r="F727" t="s">
        <v>75</v>
      </c>
      <c r="G727" t="s">
        <v>30</v>
      </c>
      <c r="H727">
        <v>1</v>
      </c>
      <c r="I727">
        <v>4200</v>
      </c>
      <c r="J727">
        <v>4200</v>
      </c>
      <c r="K727" t="s">
        <v>70</v>
      </c>
      <c r="L727" t="s">
        <v>47</v>
      </c>
      <c r="M727" t="b">
        <v>0</v>
      </c>
      <c r="N727" t="s">
        <v>23</v>
      </c>
    </row>
    <row r="728" spans="1:14" x14ac:dyDescent="0.35">
      <c r="A728" t="s">
        <v>966</v>
      </c>
      <c r="B728" t="s">
        <v>197</v>
      </c>
      <c r="C728" t="s">
        <v>67</v>
      </c>
      <c r="D728" t="s">
        <v>59</v>
      </c>
      <c r="E728" t="s">
        <v>18</v>
      </c>
      <c r="F728" t="s">
        <v>19</v>
      </c>
      <c r="G728" t="s">
        <v>30</v>
      </c>
      <c r="H728">
        <v>3</v>
      </c>
      <c r="I728">
        <v>23700</v>
      </c>
      <c r="J728">
        <v>71100</v>
      </c>
      <c r="K728" t="s">
        <v>46</v>
      </c>
      <c r="L728" t="s">
        <v>22</v>
      </c>
      <c r="M728" t="b">
        <v>0</v>
      </c>
      <c r="N728" t="s">
        <v>23</v>
      </c>
    </row>
    <row r="729" spans="1:14" x14ac:dyDescent="0.35">
      <c r="A729" t="s">
        <v>967</v>
      </c>
      <c r="B729" t="s">
        <v>211</v>
      </c>
      <c r="C729" t="s">
        <v>73</v>
      </c>
      <c r="D729" t="s">
        <v>43</v>
      </c>
      <c r="E729" t="s">
        <v>74</v>
      </c>
      <c r="F729" t="s">
        <v>75</v>
      </c>
      <c r="G729" t="s">
        <v>30</v>
      </c>
      <c r="H729">
        <v>1</v>
      </c>
      <c r="I729">
        <v>4600</v>
      </c>
      <c r="J729">
        <v>4600</v>
      </c>
      <c r="K729" t="s">
        <v>54</v>
      </c>
      <c r="L729" t="s">
        <v>47</v>
      </c>
      <c r="M729" t="b">
        <v>0</v>
      </c>
      <c r="N729" t="s">
        <v>23</v>
      </c>
    </row>
    <row r="730" spans="1:14" x14ac:dyDescent="0.35">
      <c r="A730" t="s">
        <v>968</v>
      </c>
      <c r="B730" t="s">
        <v>41</v>
      </c>
      <c r="C730" t="s">
        <v>73</v>
      </c>
      <c r="D730" t="s">
        <v>43</v>
      </c>
      <c r="E730" t="s">
        <v>52</v>
      </c>
      <c r="F730" t="s">
        <v>53</v>
      </c>
      <c r="G730" t="s">
        <v>30</v>
      </c>
      <c r="H730">
        <v>2</v>
      </c>
      <c r="I730">
        <v>8900</v>
      </c>
      <c r="J730">
        <v>17800</v>
      </c>
      <c r="K730" t="s">
        <v>46</v>
      </c>
      <c r="L730" t="s">
        <v>47</v>
      </c>
      <c r="M730" t="b">
        <v>0</v>
      </c>
      <c r="N730" t="s">
        <v>23</v>
      </c>
    </row>
    <row r="731" spans="1:14" x14ac:dyDescent="0.35">
      <c r="A731" t="s">
        <v>969</v>
      </c>
      <c r="B731" t="s">
        <v>285</v>
      </c>
      <c r="C731" t="s">
        <v>65</v>
      </c>
      <c r="D731" t="s">
        <v>27</v>
      </c>
      <c r="E731" t="s">
        <v>102</v>
      </c>
      <c r="F731" t="s">
        <v>29</v>
      </c>
      <c r="G731" t="s">
        <v>30</v>
      </c>
      <c r="H731">
        <v>5</v>
      </c>
      <c r="I731">
        <v>30700</v>
      </c>
      <c r="J731">
        <v>153500</v>
      </c>
      <c r="K731" t="s">
        <v>38</v>
      </c>
      <c r="L731" t="s">
        <v>109</v>
      </c>
      <c r="M731" t="b">
        <v>1</v>
      </c>
      <c r="N731" t="s">
        <v>33</v>
      </c>
    </row>
    <row r="732" spans="1:14" x14ac:dyDescent="0.35">
      <c r="A732" t="s">
        <v>970</v>
      </c>
      <c r="B732" t="s">
        <v>360</v>
      </c>
      <c r="C732" t="s">
        <v>26</v>
      </c>
      <c r="D732" t="s">
        <v>27</v>
      </c>
      <c r="E732" t="s">
        <v>120</v>
      </c>
      <c r="F732" t="s">
        <v>45</v>
      </c>
      <c r="G732" t="s">
        <v>20</v>
      </c>
      <c r="H732">
        <v>1</v>
      </c>
      <c r="I732">
        <v>56500</v>
      </c>
      <c r="J732">
        <v>56500</v>
      </c>
      <c r="K732" t="s">
        <v>21</v>
      </c>
      <c r="L732" t="s">
        <v>88</v>
      </c>
      <c r="M732" t="b">
        <v>0</v>
      </c>
      <c r="N732" t="s">
        <v>33</v>
      </c>
    </row>
    <row r="733" spans="1:14" x14ac:dyDescent="0.35">
      <c r="A733" t="s">
        <v>971</v>
      </c>
      <c r="B733" t="s">
        <v>108</v>
      </c>
      <c r="C733" t="s">
        <v>65</v>
      </c>
      <c r="D733" t="s">
        <v>27</v>
      </c>
      <c r="E733" t="s">
        <v>52</v>
      </c>
      <c r="F733" t="s">
        <v>53</v>
      </c>
      <c r="G733" t="s">
        <v>30</v>
      </c>
      <c r="H733">
        <v>1</v>
      </c>
      <c r="I733">
        <v>8900</v>
      </c>
      <c r="J733">
        <v>8900</v>
      </c>
      <c r="K733" t="s">
        <v>70</v>
      </c>
      <c r="L733" t="s">
        <v>109</v>
      </c>
      <c r="M733" t="b">
        <v>1</v>
      </c>
      <c r="N733" t="s">
        <v>23</v>
      </c>
    </row>
    <row r="734" spans="1:14" x14ac:dyDescent="0.35">
      <c r="A734" t="s">
        <v>972</v>
      </c>
      <c r="B734" t="s">
        <v>146</v>
      </c>
      <c r="C734" t="s">
        <v>58</v>
      </c>
      <c r="D734" t="s">
        <v>59</v>
      </c>
      <c r="E734" t="s">
        <v>44</v>
      </c>
      <c r="F734" t="s">
        <v>45</v>
      </c>
      <c r="G734" t="s">
        <v>30</v>
      </c>
      <c r="H734">
        <v>1</v>
      </c>
      <c r="I734">
        <v>26900</v>
      </c>
      <c r="J734">
        <v>26900</v>
      </c>
      <c r="K734" t="s">
        <v>54</v>
      </c>
      <c r="L734" t="s">
        <v>22</v>
      </c>
      <c r="M734" t="b">
        <v>0</v>
      </c>
      <c r="N734" t="s">
        <v>23</v>
      </c>
    </row>
    <row r="735" spans="1:14" x14ac:dyDescent="0.35">
      <c r="A735" t="s">
        <v>973</v>
      </c>
      <c r="B735" t="s">
        <v>379</v>
      </c>
      <c r="C735" t="s">
        <v>58</v>
      </c>
      <c r="D735" t="s">
        <v>59</v>
      </c>
      <c r="E735" t="s">
        <v>18</v>
      </c>
      <c r="F735" t="s">
        <v>19</v>
      </c>
      <c r="G735" t="s">
        <v>30</v>
      </c>
      <c r="H735">
        <v>1</v>
      </c>
      <c r="I735">
        <v>22800</v>
      </c>
      <c r="J735">
        <v>22800</v>
      </c>
      <c r="K735" t="s">
        <v>38</v>
      </c>
      <c r="L735" t="s">
        <v>55</v>
      </c>
      <c r="M735" t="b">
        <v>0</v>
      </c>
      <c r="N735" t="s">
        <v>23</v>
      </c>
    </row>
    <row r="736" spans="1:14" x14ac:dyDescent="0.35">
      <c r="A736" t="s">
        <v>974</v>
      </c>
      <c r="B736" t="s">
        <v>57</v>
      </c>
      <c r="C736" t="s">
        <v>73</v>
      </c>
      <c r="D736" t="s">
        <v>43</v>
      </c>
      <c r="E736" t="s">
        <v>60</v>
      </c>
      <c r="F736" t="s">
        <v>53</v>
      </c>
      <c r="G736" t="s">
        <v>20</v>
      </c>
      <c r="H736">
        <v>1</v>
      </c>
      <c r="I736">
        <v>7000</v>
      </c>
      <c r="J736">
        <v>7000</v>
      </c>
      <c r="K736" t="s">
        <v>31</v>
      </c>
      <c r="L736" t="s">
        <v>55</v>
      </c>
      <c r="M736" t="b">
        <v>0</v>
      </c>
      <c r="N736" t="s">
        <v>23</v>
      </c>
    </row>
    <row r="737" spans="1:14" x14ac:dyDescent="0.35">
      <c r="A737" t="s">
        <v>975</v>
      </c>
      <c r="B737" t="s">
        <v>190</v>
      </c>
      <c r="C737" t="s">
        <v>67</v>
      </c>
      <c r="D737" t="s">
        <v>59</v>
      </c>
      <c r="E737" t="s">
        <v>94</v>
      </c>
      <c r="F737" t="s">
        <v>37</v>
      </c>
      <c r="G737" t="s">
        <v>30</v>
      </c>
      <c r="H737">
        <v>1</v>
      </c>
      <c r="I737">
        <v>19900</v>
      </c>
      <c r="J737">
        <v>19900</v>
      </c>
      <c r="K737" t="s">
        <v>70</v>
      </c>
      <c r="L737" t="s">
        <v>22</v>
      </c>
      <c r="M737" t="b">
        <v>0</v>
      </c>
      <c r="N737" t="s">
        <v>23</v>
      </c>
    </row>
    <row r="738" spans="1:14" x14ac:dyDescent="0.35">
      <c r="A738" t="s">
        <v>976</v>
      </c>
      <c r="B738" t="s">
        <v>398</v>
      </c>
      <c r="C738" t="s">
        <v>26</v>
      </c>
      <c r="D738" t="s">
        <v>27</v>
      </c>
      <c r="E738" t="s">
        <v>97</v>
      </c>
      <c r="F738" t="s">
        <v>29</v>
      </c>
      <c r="G738" t="s">
        <v>20</v>
      </c>
      <c r="H738">
        <v>1</v>
      </c>
      <c r="I738">
        <v>32800</v>
      </c>
      <c r="J738">
        <v>32800</v>
      </c>
      <c r="K738" t="s">
        <v>38</v>
      </c>
      <c r="L738" t="s">
        <v>47</v>
      </c>
      <c r="M738" t="b">
        <v>0</v>
      </c>
      <c r="N738" t="s">
        <v>33</v>
      </c>
    </row>
    <row r="739" spans="1:14" x14ac:dyDescent="0.35">
      <c r="A739" t="s">
        <v>977</v>
      </c>
      <c r="B739" t="s">
        <v>362</v>
      </c>
      <c r="C739" t="s">
        <v>65</v>
      </c>
      <c r="D739" t="s">
        <v>27</v>
      </c>
      <c r="E739" t="s">
        <v>102</v>
      </c>
      <c r="F739" t="s">
        <v>29</v>
      </c>
      <c r="G739" t="s">
        <v>20</v>
      </c>
      <c r="H739">
        <v>1</v>
      </c>
      <c r="I739">
        <v>31700</v>
      </c>
      <c r="J739">
        <v>31700</v>
      </c>
      <c r="K739" t="s">
        <v>70</v>
      </c>
      <c r="L739" t="s">
        <v>39</v>
      </c>
      <c r="M739" t="b">
        <v>0</v>
      </c>
      <c r="N739" t="s">
        <v>33</v>
      </c>
    </row>
    <row r="740" spans="1:14" x14ac:dyDescent="0.35">
      <c r="A740" t="s">
        <v>978</v>
      </c>
      <c r="B740" t="s">
        <v>521</v>
      </c>
      <c r="C740" t="s">
        <v>65</v>
      </c>
      <c r="D740" t="s">
        <v>27</v>
      </c>
      <c r="E740" t="s">
        <v>60</v>
      </c>
      <c r="F740" t="s">
        <v>53</v>
      </c>
      <c r="G740" t="s">
        <v>30</v>
      </c>
      <c r="H740">
        <v>2</v>
      </c>
      <c r="I740">
        <v>7000</v>
      </c>
      <c r="J740">
        <v>14000</v>
      </c>
      <c r="K740" t="s">
        <v>31</v>
      </c>
      <c r="L740" t="s">
        <v>55</v>
      </c>
      <c r="M740" t="b">
        <v>0</v>
      </c>
      <c r="N740" t="s">
        <v>23</v>
      </c>
    </row>
    <row r="741" spans="1:14" x14ac:dyDescent="0.35">
      <c r="A741" t="s">
        <v>979</v>
      </c>
      <c r="B741" t="s">
        <v>134</v>
      </c>
      <c r="C741" t="s">
        <v>26</v>
      </c>
      <c r="D741" t="s">
        <v>27</v>
      </c>
      <c r="E741" t="s">
        <v>28</v>
      </c>
      <c r="F741" t="s">
        <v>29</v>
      </c>
      <c r="G741" t="s">
        <v>30</v>
      </c>
      <c r="H741">
        <v>1</v>
      </c>
      <c r="I741">
        <v>115100</v>
      </c>
      <c r="J741">
        <v>115100</v>
      </c>
      <c r="K741" t="s">
        <v>54</v>
      </c>
      <c r="L741" t="s">
        <v>109</v>
      </c>
      <c r="M741" t="b">
        <v>1</v>
      </c>
      <c r="N741" t="s">
        <v>33</v>
      </c>
    </row>
    <row r="742" spans="1:14" x14ac:dyDescent="0.35">
      <c r="A742" t="s">
        <v>980</v>
      </c>
      <c r="B742" t="s">
        <v>338</v>
      </c>
      <c r="C742" t="s">
        <v>67</v>
      </c>
      <c r="D742" t="s">
        <v>59</v>
      </c>
      <c r="E742" t="s">
        <v>18</v>
      </c>
      <c r="F742" t="s">
        <v>19</v>
      </c>
      <c r="G742" t="s">
        <v>20</v>
      </c>
      <c r="H742">
        <v>1</v>
      </c>
      <c r="I742">
        <v>21900</v>
      </c>
      <c r="J742">
        <v>21900</v>
      </c>
      <c r="K742" t="s">
        <v>70</v>
      </c>
      <c r="L742" t="s">
        <v>39</v>
      </c>
      <c r="M742" t="b">
        <v>0</v>
      </c>
      <c r="N742" t="s">
        <v>23</v>
      </c>
    </row>
    <row r="743" spans="1:14" x14ac:dyDescent="0.35">
      <c r="A743" t="s">
        <v>981</v>
      </c>
      <c r="B743" t="s">
        <v>182</v>
      </c>
      <c r="C743" t="s">
        <v>42</v>
      </c>
      <c r="D743" t="s">
        <v>43</v>
      </c>
      <c r="E743" t="s">
        <v>52</v>
      </c>
      <c r="F743" t="s">
        <v>53</v>
      </c>
      <c r="G743" t="s">
        <v>30</v>
      </c>
      <c r="H743">
        <v>1</v>
      </c>
      <c r="I743">
        <v>8300</v>
      </c>
      <c r="J743">
        <v>8300</v>
      </c>
      <c r="K743" t="s">
        <v>38</v>
      </c>
      <c r="L743" t="s">
        <v>39</v>
      </c>
      <c r="M743" t="b">
        <v>0</v>
      </c>
      <c r="N743" t="s">
        <v>23</v>
      </c>
    </row>
    <row r="744" spans="1:14" x14ac:dyDescent="0.35">
      <c r="A744" t="s">
        <v>982</v>
      </c>
      <c r="B744" t="s">
        <v>398</v>
      </c>
      <c r="C744" t="s">
        <v>67</v>
      </c>
      <c r="D744" t="s">
        <v>59</v>
      </c>
      <c r="E744" t="s">
        <v>97</v>
      </c>
      <c r="F744" t="s">
        <v>29</v>
      </c>
      <c r="G744" t="s">
        <v>30</v>
      </c>
      <c r="H744">
        <v>2</v>
      </c>
      <c r="I744">
        <v>34400</v>
      </c>
      <c r="J744">
        <v>68800</v>
      </c>
      <c r="K744" t="s">
        <v>38</v>
      </c>
      <c r="L744" t="s">
        <v>47</v>
      </c>
      <c r="M744" t="b">
        <v>0</v>
      </c>
      <c r="N744" t="s">
        <v>33</v>
      </c>
    </row>
    <row r="745" spans="1:14" x14ac:dyDescent="0.35">
      <c r="A745" t="s">
        <v>983</v>
      </c>
      <c r="B745" t="s">
        <v>342</v>
      </c>
      <c r="C745" t="s">
        <v>42</v>
      </c>
      <c r="D745" t="s">
        <v>43</v>
      </c>
      <c r="E745" t="s">
        <v>94</v>
      </c>
      <c r="F745" t="s">
        <v>37</v>
      </c>
      <c r="G745" t="s">
        <v>30</v>
      </c>
      <c r="H745">
        <v>2</v>
      </c>
      <c r="I745">
        <v>17700</v>
      </c>
      <c r="J745">
        <v>35400</v>
      </c>
      <c r="K745" t="s">
        <v>54</v>
      </c>
      <c r="L745" t="s">
        <v>47</v>
      </c>
      <c r="M745" t="b">
        <v>0</v>
      </c>
      <c r="N745" t="s">
        <v>23</v>
      </c>
    </row>
    <row r="746" spans="1:14" x14ac:dyDescent="0.35">
      <c r="A746" t="s">
        <v>984</v>
      </c>
      <c r="B746" t="s">
        <v>364</v>
      </c>
      <c r="C746" t="s">
        <v>26</v>
      </c>
      <c r="D746" t="s">
        <v>27</v>
      </c>
      <c r="E746" t="s">
        <v>102</v>
      </c>
      <c r="F746" t="s">
        <v>29</v>
      </c>
      <c r="G746" t="s">
        <v>30</v>
      </c>
      <c r="H746">
        <v>1</v>
      </c>
      <c r="I746">
        <v>29100</v>
      </c>
      <c r="J746">
        <v>29100</v>
      </c>
      <c r="K746" t="s">
        <v>21</v>
      </c>
      <c r="L746" t="s">
        <v>88</v>
      </c>
      <c r="M746" t="b">
        <v>0</v>
      </c>
      <c r="N746" t="s">
        <v>33</v>
      </c>
    </row>
    <row r="747" spans="1:14" x14ac:dyDescent="0.35">
      <c r="A747" t="s">
        <v>985</v>
      </c>
      <c r="B747" t="s">
        <v>257</v>
      </c>
      <c r="C747" t="s">
        <v>50</v>
      </c>
      <c r="D747" t="s">
        <v>51</v>
      </c>
      <c r="E747" t="s">
        <v>18</v>
      </c>
      <c r="F747" t="s">
        <v>19</v>
      </c>
      <c r="G747" t="s">
        <v>30</v>
      </c>
      <c r="H747">
        <v>2</v>
      </c>
      <c r="I747">
        <v>21200</v>
      </c>
      <c r="J747">
        <v>42400</v>
      </c>
      <c r="K747" t="s">
        <v>54</v>
      </c>
      <c r="L747" t="s">
        <v>88</v>
      </c>
      <c r="M747" t="b">
        <v>0</v>
      </c>
      <c r="N747" t="s">
        <v>23</v>
      </c>
    </row>
    <row r="748" spans="1:14" x14ac:dyDescent="0.35">
      <c r="A748" t="s">
        <v>986</v>
      </c>
      <c r="B748" t="s">
        <v>72</v>
      </c>
      <c r="C748" t="s">
        <v>26</v>
      </c>
      <c r="D748" t="s">
        <v>27</v>
      </c>
      <c r="E748" t="s">
        <v>52</v>
      </c>
      <c r="F748" t="s">
        <v>53</v>
      </c>
      <c r="G748" t="s">
        <v>20</v>
      </c>
      <c r="H748">
        <v>1</v>
      </c>
      <c r="I748">
        <v>9100</v>
      </c>
      <c r="J748">
        <v>9100</v>
      </c>
      <c r="K748" t="s">
        <v>38</v>
      </c>
      <c r="L748" t="s">
        <v>22</v>
      </c>
      <c r="M748" t="b">
        <v>0</v>
      </c>
      <c r="N748" t="s">
        <v>23</v>
      </c>
    </row>
    <row r="749" spans="1:14" x14ac:dyDescent="0.35">
      <c r="A749" t="s">
        <v>987</v>
      </c>
      <c r="B749" t="s">
        <v>220</v>
      </c>
      <c r="C749" t="s">
        <v>26</v>
      </c>
      <c r="D749" t="s">
        <v>27</v>
      </c>
      <c r="E749" t="s">
        <v>60</v>
      </c>
      <c r="F749" t="s">
        <v>53</v>
      </c>
      <c r="G749" t="s">
        <v>30</v>
      </c>
      <c r="H749">
        <v>5</v>
      </c>
      <c r="I749">
        <v>7100</v>
      </c>
      <c r="J749">
        <v>35500</v>
      </c>
      <c r="K749" t="s">
        <v>70</v>
      </c>
      <c r="L749" t="s">
        <v>109</v>
      </c>
      <c r="M749" t="b">
        <v>1</v>
      </c>
      <c r="N749" t="s">
        <v>23</v>
      </c>
    </row>
    <row r="750" spans="1:14" x14ac:dyDescent="0.35">
      <c r="A750" t="s">
        <v>988</v>
      </c>
      <c r="B750" t="s">
        <v>477</v>
      </c>
      <c r="C750" t="s">
        <v>50</v>
      </c>
      <c r="D750" t="s">
        <v>51</v>
      </c>
      <c r="E750" t="s">
        <v>97</v>
      </c>
      <c r="F750" t="s">
        <v>29</v>
      </c>
      <c r="G750" t="s">
        <v>30</v>
      </c>
      <c r="H750">
        <v>2</v>
      </c>
      <c r="I750">
        <v>30500</v>
      </c>
      <c r="J750">
        <v>61000</v>
      </c>
      <c r="K750" t="s">
        <v>70</v>
      </c>
      <c r="L750" t="s">
        <v>109</v>
      </c>
      <c r="M750" t="b">
        <v>1</v>
      </c>
      <c r="N750" t="s">
        <v>33</v>
      </c>
    </row>
    <row r="751" spans="1:14" x14ac:dyDescent="0.35">
      <c r="A751" t="s">
        <v>989</v>
      </c>
      <c r="B751" t="s">
        <v>211</v>
      </c>
      <c r="C751" t="s">
        <v>26</v>
      </c>
      <c r="D751" t="s">
        <v>27</v>
      </c>
      <c r="E751" t="s">
        <v>102</v>
      </c>
      <c r="F751" t="s">
        <v>29</v>
      </c>
      <c r="G751" t="s">
        <v>20</v>
      </c>
      <c r="H751">
        <v>2</v>
      </c>
      <c r="I751">
        <v>31000</v>
      </c>
      <c r="J751">
        <v>62000</v>
      </c>
      <c r="K751" t="s">
        <v>54</v>
      </c>
      <c r="L751" t="s">
        <v>47</v>
      </c>
      <c r="M751" t="b">
        <v>0</v>
      </c>
      <c r="N751" t="s">
        <v>33</v>
      </c>
    </row>
    <row r="752" spans="1:14" x14ac:dyDescent="0.35">
      <c r="A752" t="s">
        <v>990</v>
      </c>
      <c r="B752" t="s">
        <v>862</v>
      </c>
      <c r="C752" t="s">
        <v>16</v>
      </c>
      <c r="D752" t="s">
        <v>17</v>
      </c>
      <c r="E752" t="s">
        <v>102</v>
      </c>
      <c r="F752" t="s">
        <v>29</v>
      </c>
      <c r="G752" t="s">
        <v>30</v>
      </c>
      <c r="H752">
        <v>1</v>
      </c>
      <c r="I752">
        <v>31800</v>
      </c>
      <c r="J752">
        <v>31800</v>
      </c>
      <c r="K752" t="s">
        <v>31</v>
      </c>
      <c r="L752" t="s">
        <v>88</v>
      </c>
      <c r="M752" t="b">
        <v>0</v>
      </c>
      <c r="N752" t="s">
        <v>33</v>
      </c>
    </row>
    <row r="753" spans="1:14" x14ac:dyDescent="0.35">
      <c r="A753" t="s">
        <v>991</v>
      </c>
      <c r="B753" t="s">
        <v>274</v>
      </c>
      <c r="C753" t="s">
        <v>26</v>
      </c>
      <c r="D753" t="s">
        <v>27</v>
      </c>
      <c r="E753" t="s">
        <v>94</v>
      </c>
      <c r="F753" t="s">
        <v>37</v>
      </c>
      <c r="G753" t="s">
        <v>30</v>
      </c>
      <c r="H753">
        <v>1</v>
      </c>
      <c r="I753">
        <v>19100</v>
      </c>
      <c r="J753">
        <v>19100</v>
      </c>
      <c r="K753" t="s">
        <v>54</v>
      </c>
      <c r="L753" t="s">
        <v>109</v>
      </c>
      <c r="M753" t="b">
        <v>1</v>
      </c>
      <c r="N753" t="s">
        <v>23</v>
      </c>
    </row>
    <row r="754" spans="1:14" x14ac:dyDescent="0.35">
      <c r="A754" t="s">
        <v>992</v>
      </c>
      <c r="B754" t="s">
        <v>404</v>
      </c>
      <c r="C754" t="s">
        <v>65</v>
      </c>
      <c r="D754" t="s">
        <v>27</v>
      </c>
      <c r="E754" t="s">
        <v>28</v>
      </c>
      <c r="F754" t="s">
        <v>29</v>
      </c>
      <c r="G754" t="s">
        <v>30</v>
      </c>
      <c r="H754">
        <v>1</v>
      </c>
      <c r="I754">
        <v>111100</v>
      </c>
      <c r="J754">
        <v>111100</v>
      </c>
      <c r="K754" t="s">
        <v>70</v>
      </c>
      <c r="L754" t="s">
        <v>32</v>
      </c>
      <c r="M754" t="b">
        <v>1</v>
      </c>
      <c r="N754" t="s">
        <v>33</v>
      </c>
    </row>
    <row r="755" spans="1:14" x14ac:dyDescent="0.35">
      <c r="A755" t="s">
        <v>993</v>
      </c>
      <c r="B755" t="s">
        <v>477</v>
      </c>
      <c r="C755" t="s">
        <v>73</v>
      </c>
      <c r="D755" t="s">
        <v>43</v>
      </c>
      <c r="E755" t="s">
        <v>18</v>
      </c>
      <c r="F755" t="s">
        <v>19</v>
      </c>
      <c r="G755" t="s">
        <v>30</v>
      </c>
      <c r="H755">
        <v>2</v>
      </c>
      <c r="I755">
        <v>20900</v>
      </c>
      <c r="J755">
        <v>41800</v>
      </c>
      <c r="K755" t="s">
        <v>70</v>
      </c>
      <c r="L755" t="s">
        <v>109</v>
      </c>
      <c r="M755" t="b">
        <v>1</v>
      </c>
      <c r="N755" t="s">
        <v>23</v>
      </c>
    </row>
    <row r="756" spans="1:14" x14ac:dyDescent="0.35">
      <c r="A756" t="s">
        <v>994</v>
      </c>
      <c r="B756" t="s">
        <v>257</v>
      </c>
      <c r="C756" t="s">
        <v>16</v>
      </c>
      <c r="D756" t="s">
        <v>17</v>
      </c>
      <c r="E756" t="s">
        <v>28</v>
      </c>
      <c r="F756" t="s">
        <v>29</v>
      </c>
      <c r="G756" t="s">
        <v>30</v>
      </c>
      <c r="H756">
        <v>1</v>
      </c>
      <c r="I756">
        <v>120000</v>
      </c>
      <c r="J756">
        <v>120000</v>
      </c>
      <c r="K756" t="s">
        <v>54</v>
      </c>
      <c r="L756" t="s">
        <v>88</v>
      </c>
      <c r="M756" t="b">
        <v>0</v>
      </c>
      <c r="N756" t="s">
        <v>33</v>
      </c>
    </row>
    <row r="757" spans="1:14" x14ac:dyDescent="0.35">
      <c r="A757" t="s">
        <v>995</v>
      </c>
      <c r="B757" t="s">
        <v>72</v>
      </c>
      <c r="C757" t="s">
        <v>65</v>
      </c>
      <c r="D757" t="s">
        <v>27</v>
      </c>
      <c r="E757" t="s">
        <v>52</v>
      </c>
      <c r="F757" t="s">
        <v>53</v>
      </c>
      <c r="G757" t="s">
        <v>20</v>
      </c>
      <c r="H757">
        <v>3</v>
      </c>
      <c r="I757">
        <v>7900</v>
      </c>
      <c r="J757">
        <v>23700</v>
      </c>
      <c r="K757" t="s">
        <v>38</v>
      </c>
      <c r="L757" t="s">
        <v>22</v>
      </c>
      <c r="M757" t="b">
        <v>0</v>
      </c>
      <c r="N757" t="s">
        <v>23</v>
      </c>
    </row>
    <row r="758" spans="1:14" x14ac:dyDescent="0.35">
      <c r="A758" t="s">
        <v>996</v>
      </c>
      <c r="B758" t="s">
        <v>318</v>
      </c>
      <c r="C758" t="s">
        <v>50</v>
      </c>
      <c r="D758" t="s">
        <v>51</v>
      </c>
      <c r="E758" t="s">
        <v>74</v>
      </c>
      <c r="F758" t="s">
        <v>75</v>
      </c>
      <c r="G758" t="s">
        <v>20</v>
      </c>
      <c r="H758">
        <v>4</v>
      </c>
      <c r="I758">
        <v>4400</v>
      </c>
      <c r="J758">
        <v>17600</v>
      </c>
      <c r="K758" t="s">
        <v>54</v>
      </c>
      <c r="L758" t="s">
        <v>22</v>
      </c>
      <c r="M758" t="b">
        <v>0</v>
      </c>
      <c r="N758" t="s">
        <v>23</v>
      </c>
    </row>
    <row r="759" spans="1:14" x14ac:dyDescent="0.35">
      <c r="A759" t="s">
        <v>997</v>
      </c>
      <c r="B759" t="s">
        <v>99</v>
      </c>
      <c r="C759" t="s">
        <v>26</v>
      </c>
      <c r="D759" t="s">
        <v>27</v>
      </c>
      <c r="E759" t="s">
        <v>28</v>
      </c>
      <c r="F759" t="s">
        <v>29</v>
      </c>
      <c r="G759" t="s">
        <v>20</v>
      </c>
      <c r="H759">
        <v>1</v>
      </c>
      <c r="I759">
        <v>112100</v>
      </c>
      <c r="J759">
        <v>112100</v>
      </c>
      <c r="K759" t="s">
        <v>46</v>
      </c>
      <c r="L759" t="s">
        <v>88</v>
      </c>
      <c r="M759" t="b">
        <v>0</v>
      </c>
      <c r="N759" t="s">
        <v>33</v>
      </c>
    </row>
    <row r="760" spans="1:14" x14ac:dyDescent="0.35">
      <c r="A760" t="s">
        <v>998</v>
      </c>
      <c r="B760" t="s">
        <v>197</v>
      </c>
      <c r="C760" t="s">
        <v>65</v>
      </c>
      <c r="D760" t="s">
        <v>27</v>
      </c>
      <c r="E760" t="s">
        <v>18</v>
      </c>
      <c r="F760" t="s">
        <v>19</v>
      </c>
      <c r="G760" t="s">
        <v>20</v>
      </c>
      <c r="H760">
        <v>1</v>
      </c>
      <c r="I760">
        <v>23000</v>
      </c>
      <c r="J760">
        <v>23000</v>
      </c>
      <c r="K760" t="s">
        <v>46</v>
      </c>
      <c r="L760" t="s">
        <v>22</v>
      </c>
      <c r="M760" t="b">
        <v>0</v>
      </c>
      <c r="N760" t="s">
        <v>23</v>
      </c>
    </row>
    <row r="761" spans="1:14" x14ac:dyDescent="0.35">
      <c r="A761" t="s">
        <v>999</v>
      </c>
      <c r="B761" t="s">
        <v>358</v>
      </c>
      <c r="C761" t="s">
        <v>26</v>
      </c>
      <c r="D761" t="s">
        <v>27</v>
      </c>
      <c r="E761" t="s">
        <v>44</v>
      </c>
      <c r="F761" t="s">
        <v>45</v>
      </c>
      <c r="G761" t="s">
        <v>30</v>
      </c>
      <c r="H761">
        <v>3</v>
      </c>
      <c r="I761">
        <v>27500</v>
      </c>
      <c r="J761">
        <v>82500</v>
      </c>
      <c r="K761" t="s">
        <v>21</v>
      </c>
      <c r="L761" t="s">
        <v>47</v>
      </c>
      <c r="M761" t="b">
        <v>0</v>
      </c>
      <c r="N761" t="s">
        <v>23</v>
      </c>
    </row>
    <row r="762" spans="1:14" x14ac:dyDescent="0.35">
      <c r="A762" t="s">
        <v>1000</v>
      </c>
      <c r="B762" t="s">
        <v>1001</v>
      </c>
      <c r="C762" t="s">
        <v>42</v>
      </c>
      <c r="D762" t="s">
        <v>43</v>
      </c>
      <c r="E762" t="s">
        <v>28</v>
      </c>
      <c r="F762" t="s">
        <v>29</v>
      </c>
      <c r="G762" t="s">
        <v>30</v>
      </c>
      <c r="H762">
        <v>1</v>
      </c>
      <c r="I762">
        <v>114400</v>
      </c>
      <c r="J762">
        <v>114400</v>
      </c>
      <c r="K762" t="s">
        <v>70</v>
      </c>
      <c r="L762" t="s">
        <v>32</v>
      </c>
      <c r="M762" t="b">
        <v>1</v>
      </c>
      <c r="N762" t="s">
        <v>33</v>
      </c>
    </row>
    <row r="763" spans="1:14" x14ac:dyDescent="0.35">
      <c r="A763" t="s">
        <v>1002</v>
      </c>
      <c r="B763" t="s">
        <v>15</v>
      </c>
      <c r="C763" t="s">
        <v>58</v>
      </c>
      <c r="D763" t="s">
        <v>59</v>
      </c>
      <c r="E763" t="s">
        <v>36</v>
      </c>
      <c r="F763" t="s">
        <v>37</v>
      </c>
      <c r="G763" t="s">
        <v>30</v>
      </c>
      <c r="H763">
        <v>1</v>
      </c>
      <c r="I763">
        <v>42000</v>
      </c>
      <c r="J763">
        <v>42000</v>
      </c>
      <c r="K763" t="s">
        <v>21</v>
      </c>
      <c r="L763" t="s">
        <v>22</v>
      </c>
      <c r="M763" t="b">
        <v>0</v>
      </c>
      <c r="N763" t="s">
        <v>33</v>
      </c>
    </row>
    <row r="764" spans="1:14" x14ac:dyDescent="0.35">
      <c r="A764" t="s">
        <v>1003</v>
      </c>
      <c r="B764" t="s">
        <v>229</v>
      </c>
      <c r="C764" t="s">
        <v>50</v>
      </c>
      <c r="D764" t="s">
        <v>51</v>
      </c>
      <c r="E764" t="s">
        <v>28</v>
      </c>
      <c r="F764" t="s">
        <v>29</v>
      </c>
      <c r="G764" t="s">
        <v>30</v>
      </c>
      <c r="H764">
        <v>1</v>
      </c>
      <c r="I764">
        <v>123900</v>
      </c>
      <c r="J764">
        <v>123900</v>
      </c>
      <c r="K764" t="s">
        <v>70</v>
      </c>
      <c r="L764" t="s">
        <v>55</v>
      </c>
      <c r="M764" t="b">
        <v>0</v>
      </c>
      <c r="N764" t="s">
        <v>33</v>
      </c>
    </row>
    <row r="765" spans="1:14" x14ac:dyDescent="0.35">
      <c r="A765" t="s">
        <v>1004</v>
      </c>
      <c r="B765" t="s">
        <v>421</v>
      </c>
      <c r="C765" t="s">
        <v>26</v>
      </c>
      <c r="D765" t="s">
        <v>27</v>
      </c>
      <c r="E765" t="s">
        <v>120</v>
      </c>
      <c r="F765" t="s">
        <v>45</v>
      </c>
      <c r="G765" t="s">
        <v>30</v>
      </c>
      <c r="H765">
        <v>4</v>
      </c>
      <c r="I765">
        <v>50700</v>
      </c>
      <c r="J765">
        <v>202800</v>
      </c>
      <c r="K765" t="s">
        <v>38</v>
      </c>
      <c r="L765" t="s">
        <v>88</v>
      </c>
      <c r="M765" t="b">
        <v>0</v>
      </c>
      <c r="N765" t="s">
        <v>33</v>
      </c>
    </row>
    <row r="766" spans="1:14" x14ac:dyDescent="0.35">
      <c r="A766" t="s">
        <v>1005</v>
      </c>
      <c r="B766" t="s">
        <v>178</v>
      </c>
      <c r="C766" t="s">
        <v>42</v>
      </c>
      <c r="D766" t="s">
        <v>43</v>
      </c>
      <c r="E766" t="s">
        <v>102</v>
      </c>
      <c r="F766" t="s">
        <v>29</v>
      </c>
      <c r="G766" t="s">
        <v>20</v>
      </c>
      <c r="H766">
        <v>1</v>
      </c>
      <c r="I766">
        <v>31200</v>
      </c>
      <c r="J766">
        <v>31200</v>
      </c>
      <c r="K766" t="s">
        <v>38</v>
      </c>
      <c r="L766" t="s">
        <v>47</v>
      </c>
      <c r="M766" t="b">
        <v>0</v>
      </c>
      <c r="N766" t="s">
        <v>33</v>
      </c>
    </row>
    <row r="767" spans="1:14" x14ac:dyDescent="0.35">
      <c r="A767" t="s">
        <v>1006</v>
      </c>
      <c r="B767" t="s">
        <v>354</v>
      </c>
      <c r="C767" t="s">
        <v>26</v>
      </c>
      <c r="D767" t="s">
        <v>27</v>
      </c>
      <c r="E767" t="s">
        <v>60</v>
      </c>
      <c r="F767" t="s">
        <v>53</v>
      </c>
      <c r="G767" t="s">
        <v>30</v>
      </c>
      <c r="H767">
        <v>2</v>
      </c>
      <c r="I767">
        <v>6800</v>
      </c>
      <c r="J767">
        <v>13600</v>
      </c>
      <c r="K767" t="s">
        <v>31</v>
      </c>
      <c r="L767" t="s">
        <v>109</v>
      </c>
      <c r="M767" t="b">
        <v>1</v>
      </c>
      <c r="N767" t="s">
        <v>23</v>
      </c>
    </row>
    <row r="768" spans="1:14" x14ac:dyDescent="0.35">
      <c r="A768" t="s">
        <v>1007</v>
      </c>
      <c r="B768" t="s">
        <v>777</v>
      </c>
      <c r="C768" t="s">
        <v>65</v>
      </c>
      <c r="D768" t="s">
        <v>27</v>
      </c>
      <c r="E768" t="s">
        <v>94</v>
      </c>
      <c r="F768" t="s">
        <v>37</v>
      </c>
      <c r="G768" t="s">
        <v>20</v>
      </c>
      <c r="H768">
        <v>3</v>
      </c>
      <c r="I768">
        <v>18500</v>
      </c>
      <c r="J768">
        <v>55500</v>
      </c>
      <c r="K768" t="s">
        <v>46</v>
      </c>
      <c r="L768" t="s">
        <v>39</v>
      </c>
      <c r="M768" t="b">
        <v>0</v>
      </c>
      <c r="N768" t="s">
        <v>23</v>
      </c>
    </row>
    <row r="769" spans="1:14" x14ac:dyDescent="0.35">
      <c r="A769" t="s">
        <v>1008</v>
      </c>
      <c r="B769" t="s">
        <v>182</v>
      </c>
      <c r="C769" t="s">
        <v>67</v>
      </c>
      <c r="D769" t="s">
        <v>59</v>
      </c>
      <c r="E769" t="s">
        <v>36</v>
      </c>
      <c r="F769" t="s">
        <v>37</v>
      </c>
      <c r="G769" t="s">
        <v>20</v>
      </c>
      <c r="H769">
        <v>1</v>
      </c>
      <c r="I769">
        <v>43200</v>
      </c>
      <c r="J769">
        <v>43200</v>
      </c>
      <c r="K769" t="s">
        <v>38</v>
      </c>
      <c r="L769" t="s">
        <v>39</v>
      </c>
      <c r="M769" t="b">
        <v>0</v>
      </c>
      <c r="N769" t="s">
        <v>33</v>
      </c>
    </row>
    <row r="770" spans="1:14" x14ac:dyDescent="0.35">
      <c r="A770" t="s">
        <v>1009</v>
      </c>
      <c r="B770" t="s">
        <v>441</v>
      </c>
      <c r="C770" t="s">
        <v>26</v>
      </c>
      <c r="D770" t="s">
        <v>27</v>
      </c>
      <c r="E770" t="s">
        <v>28</v>
      </c>
      <c r="F770" t="s">
        <v>29</v>
      </c>
      <c r="G770" t="s">
        <v>20</v>
      </c>
      <c r="H770">
        <v>1</v>
      </c>
      <c r="I770">
        <v>115400</v>
      </c>
      <c r="J770">
        <v>115400</v>
      </c>
      <c r="K770" t="s">
        <v>38</v>
      </c>
      <c r="L770" t="s">
        <v>109</v>
      </c>
      <c r="M770" t="b">
        <v>1</v>
      </c>
      <c r="N770" t="s">
        <v>33</v>
      </c>
    </row>
    <row r="771" spans="1:14" x14ac:dyDescent="0.35">
      <c r="A771" t="s">
        <v>1010</v>
      </c>
      <c r="B771" t="s">
        <v>115</v>
      </c>
      <c r="C771" t="s">
        <v>65</v>
      </c>
      <c r="D771" t="s">
        <v>27</v>
      </c>
      <c r="E771" t="s">
        <v>60</v>
      </c>
      <c r="F771" t="s">
        <v>53</v>
      </c>
      <c r="G771" t="s">
        <v>30</v>
      </c>
      <c r="H771">
        <v>1</v>
      </c>
      <c r="I771">
        <v>6400</v>
      </c>
      <c r="J771">
        <v>6400</v>
      </c>
      <c r="K771" t="s">
        <v>46</v>
      </c>
      <c r="L771" t="s">
        <v>32</v>
      </c>
      <c r="M771" t="b">
        <v>1</v>
      </c>
      <c r="N771" t="s">
        <v>23</v>
      </c>
    </row>
    <row r="772" spans="1:14" x14ac:dyDescent="0.35">
      <c r="A772" t="s">
        <v>1011</v>
      </c>
      <c r="B772" t="s">
        <v>624</v>
      </c>
      <c r="C772" t="s">
        <v>26</v>
      </c>
      <c r="D772" t="s">
        <v>27</v>
      </c>
      <c r="E772" t="s">
        <v>60</v>
      </c>
      <c r="F772" t="s">
        <v>53</v>
      </c>
      <c r="G772" t="s">
        <v>30</v>
      </c>
      <c r="H772">
        <v>4</v>
      </c>
      <c r="I772">
        <v>7300</v>
      </c>
      <c r="J772">
        <v>29200</v>
      </c>
      <c r="K772" t="s">
        <v>31</v>
      </c>
      <c r="L772" t="s">
        <v>47</v>
      </c>
      <c r="M772" t="b">
        <v>0</v>
      </c>
      <c r="N772" t="s">
        <v>23</v>
      </c>
    </row>
    <row r="773" spans="1:14" x14ac:dyDescent="0.35">
      <c r="A773" t="s">
        <v>1012</v>
      </c>
      <c r="B773" t="s">
        <v>320</v>
      </c>
      <c r="C773" t="s">
        <v>67</v>
      </c>
      <c r="D773" t="s">
        <v>59</v>
      </c>
      <c r="E773" t="s">
        <v>97</v>
      </c>
      <c r="F773" t="s">
        <v>29</v>
      </c>
      <c r="G773" t="s">
        <v>30</v>
      </c>
      <c r="H773">
        <v>1</v>
      </c>
      <c r="I773">
        <v>34400</v>
      </c>
      <c r="J773">
        <v>34400</v>
      </c>
      <c r="K773" t="s">
        <v>46</v>
      </c>
      <c r="L773" t="s">
        <v>47</v>
      </c>
      <c r="M773" t="b">
        <v>0</v>
      </c>
      <c r="N773" t="s">
        <v>33</v>
      </c>
    </row>
    <row r="774" spans="1:14" x14ac:dyDescent="0.35">
      <c r="A774" t="s">
        <v>1013</v>
      </c>
      <c r="B774" t="s">
        <v>170</v>
      </c>
      <c r="C774" t="s">
        <v>65</v>
      </c>
      <c r="D774" t="s">
        <v>27</v>
      </c>
      <c r="E774" t="s">
        <v>44</v>
      </c>
      <c r="F774" t="s">
        <v>45</v>
      </c>
      <c r="G774" t="s">
        <v>20</v>
      </c>
      <c r="H774">
        <v>1</v>
      </c>
      <c r="I774">
        <v>27100</v>
      </c>
      <c r="J774">
        <v>27100</v>
      </c>
      <c r="K774" t="s">
        <v>46</v>
      </c>
      <c r="L774" t="s">
        <v>109</v>
      </c>
      <c r="M774" t="b">
        <v>1</v>
      </c>
      <c r="N774" t="s">
        <v>23</v>
      </c>
    </row>
    <row r="775" spans="1:14" x14ac:dyDescent="0.35">
      <c r="A775" t="s">
        <v>1014</v>
      </c>
      <c r="B775" t="s">
        <v>91</v>
      </c>
      <c r="C775" t="s">
        <v>73</v>
      </c>
      <c r="D775" t="s">
        <v>43</v>
      </c>
      <c r="E775" t="s">
        <v>28</v>
      </c>
      <c r="F775" t="s">
        <v>29</v>
      </c>
      <c r="G775" t="s">
        <v>20</v>
      </c>
      <c r="H775">
        <v>1</v>
      </c>
      <c r="I775">
        <v>115000</v>
      </c>
      <c r="J775">
        <v>115000</v>
      </c>
      <c r="K775" t="s">
        <v>21</v>
      </c>
      <c r="L775" t="s">
        <v>55</v>
      </c>
      <c r="M775" t="b">
        <v>0</v>
      </c>
      <c r="N775" t="s">
        <v>33</v>
      </c>
    </row>
    <row r="776" spans="1:14" x14ac:dyDescent="0.35">
      <c r="A776" t="s">
        <v>1015</v>
      </c>
      <c r="B776" t="s">
        <v>375</v>
      </c>
      <c r="C776" t="s">
        <v>65</v>
      </c>
      <c r="D776" t="s">
        <v>27</v>
      </c>
      <c r="E776" t="s">
        <v>97</v>
      </c>
      <c r="F776" t="s">
        <v>29</v>
      </c>
      <c r="G776" t="s">
        <v>30</v>
      </c>
      <c r="H776">
        <v>2</v>
      </c>
      <c r="I776">
        <v>32500</v>
      </c>
      <c r="J776">
        <v>65000</v>
      </c>
      <c r="K776" t="s">
        <v>38</v>
      </c>
      <c r="L776" t="s">
        <v>55</v>
      </c>
      <c r="M776" t="b">
        <v>0</v>
      </c>
      <c r="N776" t="s">
        <v>33</v>
      </c>
    </row>
    <row r="777" spans="1:14" x14ac:dyDescent="0.35">
      <c r="A777" t="s">
        <v>1016</v>
      </c>
      <c r="B777" t="s">
        <v>572</v>
      </c>
      <c r="C777" t="s">
        <v>73</v>
      </c>
      <c r="D777" t="s">
        <v>43</v>
      </c>
      <c r="E777" t="s">
        <v>102</v>
      </c>
      <c r="F777" t="s">
        <v>29</v>
      </c>
      <c r="G777" t="s">
        <v>30</v>
      </c>
      <c r="H777">
        <v>1</v>
      </c>
      <c r="I777">
        <v>31300</v>
      </c>
      <c r="J777">
        <v>31300</v>
      </c>
      <c r="K777" t="s">
        <v>21</v>
      </c>
      <c r="L777" t="s">
        <v>32</v>
      </c>
      <c r="M777" t="b">
        <v>1</v>
      </c>
      <c r="N777" t="s">
        <v>33</v>
      </c>
    </row>
    <row r="778" spans="1:14" x14ac:dyDescent="0.35">
      <c r="A778" t="s">
        <v>1017</v>
      </c>
      <c r="B778" t="s">
        <v>418</v>
      </c>
      <c r="C778" t="s">
        <v>42</v>
      </c>
      <c r="D778" t="s">
        <v>43</v>
      </c>
      <c r="E778" t="s">
        <v>120</v>
      </c>
      <c r="F778" t="s">
        <v>45</v>
      </c>
      <c r="G778" t="s">
        <v>20</v>
      </c>
      <c r="H778">
        <v>2</v>
      </c>
      <c r="I778">
        <v>52500</v>
      </c>
      <c r="J778">
        <v>105000</v>
      </c>
      <c r="K778" t="s">
        <v>38</v>
      </c>
      <c r="L778" t="s">
        <v>22</v>
      </c>
      <c r="M778" t="b">
        <v>0</v>
      </c>
      <c r="N778" t="s">
        <v>33</v>
      </c>
    </row>
    <row r="779" spans="1:14" x14ac:dyDescent="0.35">
      <c r="A779" t="s">
        <v>1018</v>
      </c>
      <c r="B779" t="s">
        <v>680</v>
      </c>
      <c r="C779" t="s">
        <v>58</v>
      </c>
      <c r="D779" t="s">
        <v>59</v>
      </c>
      <c r="E779" t="s">
        <v>44</v>
      </c>
      <c r="F779" t="s">
        <v>45</v>
      </c>
      <c r="G779" t="s">
        <v>30</v>
      </c>
      <c r="H779">
        <v>2</v>
      </c>
      <c r="I779">
        <v>28100</v>
      </c>
      <c r="J779">
        <v>56200</v>
      </c>
      <c r="K779" t="s">
        <v>38</v>
      </c>
      <c r="L779" t="s">
        <v>88</v>
      </c>
      <c r="M779" t="b">
        <v>0</v>
      </c>
      <c r="N779" t="s">
        <v>33</v>
      </c>
    </row>
    <row r="780" spans="1:14" x14ac:dyDescent="0.35">
      <c r="A780" t="s">
        <v>1019</v>
      </c>
      <c r="B780" t="s">
        <v>49</v>
      </c>
      <c r="C780" t="s">
        <v>26</v>
      </c>
      <c r="D780" t="s">
        <v>27</v>
      </c>
      <c r="E780" t="s">
        <v>120</v>
      </c>
      <c r="F780" t="s">
        <v>45</v>
      </c>
      <c r="G780" t="s">
        <v>20</v>
      </c>
      <c r="H780">
        <v>1</v>
      </c>
      <c r="I780">
        <v>50500</v>
      </c>
      <c r="J780">
        <v>50500</v>
      </c>
      <c r="K780" t="s">
        <v>54</v>
      </c>
      <c r="L780" t="s">
        <v>55</v>
      </c>
      <c r="M780" t="b">
        <v>0</v>
      </c>
      <c r="N780" t="s">
        <v>33</v>
      </c>
    </row>
    <row r="781" spans="1:14" x14ac:dyDescent="0.35">
      <c r="A781" t="s">
        <v>1020</v>
      </c>
      <c r="B781" t="s">
        <v>329</v>
      </c>
      <c r="C781" t="s">
        <v>58</v>
      </c>
      <c r="D781" t="s">
        <v>59</v>
      </c>
      <c r="E781" t="s">
        <v>94</v>
      </c>
      <c r="F781" t="s">
        <v>37</v>
      </c>
      <c r="G781" t="s">
        <v>30</v>
      </c>
      <c r="H781">
        <v>1</v>
      </c>
      <c r="I781">
        <v>19300</v>
      </c>
      <c r="J781">
        <v>19300</v>
      </c>
      <c r="K781" t="s">
        <v>54</v>
      </c>
      <c r="L781" t="s">
        <v>39</v>
      </c>
      <c r="M781" t="b">
        <v>0</v>
      </c>
      <c r="N781" t="s">
        <v>23</v>
      </c>
    </row>
    <row r="782" spans="1:14" x14ac:dyDescent="0.35">
      <c r="A782" t="s">
        <v>1021</v>
      </c>
      <c r="B782" t="s">
        <v>106</v>
      </c>
      <c r="C782" t="s">
        <v>26</v>
      </c>
      <c r="D782" t="s">
        <v>27</v>
      </c>
      <c r="E782" t="s">
        <v>120</v>
      </c>
      <c r="F782" t="s">
        <v>45</v>
      </c>
      <c r="G782" t="s">
        <v>30</v>
      </c>
      <c r="H782">
        <v>2</v>
      </c>
      <c r="I782">
        <v>53000</v>
      </c>
      <c r="J782">
        <v>106000</v>
      </c>
      <c r="K782" t="s">
        <v>21</v>
      </c>
      <c r="L782" t="s">
        <v>22</v>
      </c>
      <c r="M782" t="b">
        <v>0</v>
      </c>
      <c r="N782" t="s">
        <v>33</v>
      </c>
    </row>
    <row r="783" spans="1:14" x14ac:dyDescent="0.35">
      <c r="A783" t="s">
        <v>1022</v>
      </c>
      <c r="B783" t="s">
        <v>364</v>
      </c>
      <c r="C783" t="s">
        <v>42</v>
      </c>
      <c r="D783" t="s">
        <v>43</v>
      </c>
      <c r="E783" t="s">
        <v>74</v>
      </c>
      <c r="F783" t="s">
        <v>75</v>
      </c>
      <c r="G783" t="s">
        <v>30</v>
      </c>
      <c r="H783">
        <v>1</v>
      </c>
      <c r="I783">
        <v>4400</v>
      </c>
      <c r="J783">
        <v>4400</v>
      </c>
      <c r="K783" t="s">
        <v>21</v>
      </c>
      <c r="L783" t="s">
        <v>88</v>
      </c>
      <c r="M783" t="b">
        <v>0</v>
      </c>
      <c r="N783" t="s">
        <v>23</v>
      </c>
    </row>
    <row r="784" spans="1:14" x14ac:dyDescent="0.35">
      <c r="A784" t="s">
        <v>1023</v>
      </c>
      <c r="B784" t="s">
        <v>64</v>
      </c>
      <c r="C784" t="s">
        <v>65</v>
      </c>
      <c r="D784" t="s">
        <v>27</v>
      </c>
      <c r="E784" t="s">
        <v>36</v>
      </c>
      <c r="F784" t="s">
        <v>37</v>
      </c>
      <c r="G784" t="s">
        <v>20</v>
      </c>
      <c r="H784">
        <v>1</v>
      </c>
      <c r="I784">
        <v>45200</v>
      </c>
      <c r="J784">
        <v>45200</v>
      </c>
      <c r="K784" t="s">
        <v>46</v>
      </c>
      <c r="L784" t="s">
        <v>47</v>
      </c>
      <c r="M784" t="b">
        <v>0</v>
      </c>
      <c r="N784" t="s">
        <v>33</v>
      </c>
    </row>
    <row r="785" spans="1:14" x14ac:dyDescent="0.35">
      <c r="A785" t="s">
        <v>1024</v>
      </c>
      <c r="B785" t="s">
        <v>257</v>
      </c>
      <c r="C785" t="s">
        <v>16</v>
      </c>
      <c r="D785" t="s">
        <v>17</v>
      </c>
      <c r="E785" t="s">
        <v>52</v>
      </c>
      <c r="F785" t="s">
        <v>53</v>
      </c>
      <c r="G785" t="s">
        <v>20</v>
      </c>
      <c r="H785">
        <v>1</v>
      </c>
      <c r="I785">
        <v>8600</v>
      </c>
      <c r="J785">
        <v>8600</v>
      </c>
      <c r="K785" t="s">
        <v>54</v>
      </c>
      <c r="L785" t="s">
        <v>88</v>
      </c>
      <c r="M785" t="b">
        <v>0</v>
      </c>
      <c r="N785" t="s">
        <v>23</v>
      </c>
    </row>
    <row r="786" spans="1:14" x14ac:dyDescent="0.35">
      <c r="A786" t="s">
        <v>1025</v>
      </c>
      <c r="B786" t="s">
        <v>297</v>
      </c>
      <c r="C786" t="s">
        <v>26</v>
      </c>
      <c r="D786" t="s">
        <v>27</v>
      </c>
      <c r="E786" t="s">
        <v>97</v>
      </c>
      <c r="F786" t="s">
        <v>29</v>
      </c>
      <c r="G786" t="s">
        <v>20</v>
      </c>
      <c r="H786">
        <v>3</v>
      </c>
      <c r="I786">
        <v>32200</v>
      </c>
      <c r="J786">
        <v>96600</v>
      </c>
      <c r="K786" t="s">
        <v>70</v>
      </c>
      <c r="L786" t="s">
        <v>109</v>
      </c>
      <c r="M786" t="b">
        <v>1</v>
      </c>
      <c r="N786" t="s">
        <v>33</v>
      </c>
    </row>
    <row r="787" spans="1:14" x14ac:dyDescent="0.35">
      <c r="A787" t="s">
        <v>1026</v>
      </c>
      <c r="B787" t="s">
        <v>407</v>
      </c>
      <c r="C787" t="s">
        <v>65</v>
      </c>
      <c r="D787" t="s">
        <v>27</v>
      </c>
      <c r="E787" t="s">
        <v>44</v>
      </c>
      <c r="F787" t="s">
        <v>45</v>
      </c>
      <c r="G787" t="s">
        <v>30</v>
      </c>
      <c r="H787">
        <v>2</v>
      </c>
      <c r="I787">
        <v>27300</v>
      </c>
      <c r="J787">
        <v>54600</v>
      </c>
      <c r="K787" t="s">
        <v>21</v>
      </c>
      <c r="L787" t="s">
        <v>22</v>
      </c>
      <c r="M787" t="b">
        <v>0</v>
      </c>
      <c r="N787" t="s">
        <v>23</v>
      </c>
    </row>
    <row r="788" spans="1:14" x14ac:dyDescent="0.35">
      <c r="A788" t="s">
        <v>1027</v>
      </c>
      <c r="B788" t="s">
        <v>161</v>
      </c>
      <c r="C788" t="s">
        <v>67</v>
      </c>
      <c r="D788" t="s">
        <v>59</v>
      </c>
      <c r="E788" t="s">
        <v>18</v>
      </c>
      <c r="F788" t="s">
        <v>19</v>
      </c>
      <c r="G788" t="s">
        <v>20</v>
      </c>
      <c r="H788">
        <v>3</v>
      </c>
      <c r="I788">
        <v>23300</v>
      </c>
      <c r="J788">
        <v>69900</v>
      </c>
      <c r="K788" t="s">
        <v>21</v>
      </c>
      <c r="L788" t="s">
        <v>32</v>
      </c>
      <c r="M788" t="b">
        <v>1</v>
      </c>
      <c r="N788" t="s">
        <v>23</v>
      </c>
    </row>
    <row r="789" spans="1:14" x14ac:dyDescent="0.35">
      <c r="A789" t="s">
        <v>1028</v>
      </c>
      <c r="B789" t="s">
        <v>241</v>
      </c>
      <c r="C789" t="s">
        <v>67</v>
      </c>
      <c r="D789" t="s">
        <v>59</v>
      </c>
      <c r="E789" t="s">
        <v>52</v>
      </c>
      <c r="F789" t="s">
        <v>53</v>
      </c>
      <c r="G789" t="s">
        <v>30</v>
      </c>
      <c r="H789">
        <v>1</v>
      </c>
      <c r="I789">
        <v>8000</v>
      </c>
      <c r="J789">
        <v>8000</v>
      </c>
      <c r="K789" t="s">
        <v>31</v>
      </c>
      <c r="L789" t="s">
        <v>39</v>
      </c>
      <c r="M789" t="b">
        <v>0</v>
      </c>
      <c r="N789" t="s">
        <v>23</v>
      </c>
    </row>
    <row r="790" spans="1:14" x14ac:dyDescent="0.35">
      <c r="A790" t="s">
        <v>1029</v>
      </c>
      <c r="B790" t="s">
        <v>57</v>
      </c>
      <c r="C790" t="s">
        <v>58</v>
      </c>
      <c r="D790" t="s">
        <v>59</v>
      </c>
      <c r="E790" t="s">
        <v>36</v>
      </c>
      <c r="F790" t="s">
        <v>37</v>
      </c>
      <c r="G790" t="s">
        <v>20</v>
      </c>
      <c r="H790">
        <v>3</v>
      </c>
      <c r="I790">
        <v>39000</v>
      </c>
      <c r="J790">
        <v>117000</v>
      </c>
      <c r="K790" t="s">
        <v>31</v>
      </c>
      <c r="L790" t="s">
        <v>55</v>
      </c>
      <c r="M790" t="b">
        <v>0</v>
      </c>
      <c r="N790" t="s">
        <v>33</v>
      </c>
    </row>
    <row r="791" spans="1:14" x14ac:dyDescent="0.35">
      <c r="A791" t="s">
        <v>1030</v>
      </c>
      <c r="B791" t="s">
        <v>285</v>
      </c>
      <c r="C791" t="s">
        <v>26</v>
      </c>
      <c r="D791" t="s">
        <v>27</v>
      </c>
      <c r="E791" t="s">
        <v>44</v>
      </c>
      <c r="F791" t="s">
        <v>45</v>
      </c>
      <c r="G791" t="s">
        <v>30</v>
      </c>
      <c r="H791">
        <v>1</v>
      </c>
      <c r="I791">
        <v>29300</v>
      </c>
      <c r="J791">
        <v>29300</v>
      </c>
      <c r="K791" t="s">
        <v>38</v>
      </c>
      <c r="L791" t="s">
        <v>109</v>
      </c>
      <c r="M791" t="b">
        <v>1</v>
      </c>
      <c r="N791" t="s">
        <v>33</v>
      </c>
    </row>
    <row r="792" spans="1:14" x14ac:dyDescent="0.35">
      <c r="A792" t="s">
        <v>1031</v>
      </c>
      <c r="B792" t="s">
        <v>449</v>
      </c>
      <c r="C792" t="s">
        <v>67</v>
      </c>
      <c r="D792" t="s">
        <v>59</v>
      </c>
      <c r="E792" t="s">
        <v>97</v>
      </c>
      <c r="F792" t="s">
        <v>29</v>
      </c>
      <c r="G792" t="s">
        <v>20</v>
      </c>
      <c r="H792">
        <v>1</v>
      </c>
      <c r="I792">
        <v>30800</v>
      </c>
      <c r="J792">
        <v>30800</v>
      </c>
      <c r="K792" t="s">
        <v>46</v>
      </c>
      <c r="L792" t="s">
        <v>88</v>
      </c>
      <c r="M792" t="b">
        <v>0</v>
      </c>
      <c r="N792" t="s">
        <v>33</v>
      </c>
    </row>
    <row r="793" spans="1:14" x14ac:dyDescent="0.35">
      <c r="A793" t="s">
        <v>1032</v>
      </c>
      <c r="B793" t="s">
        <v>96</v>
      </c>
      <c r="C793" t="s">
        <v>50</v>
      </c>
      <c r="D793" t="s">
        <v>51</v>
      </c>
      <c r="E793" t="s">
        <v>80</v>
      </c>
      <c r="F793" t="s">
        <v>81</v>
      </c>
      <c r="G793" t="s">
        <v>20</v>
      </c>
      <c r="H793">
        <v>1</v>
      </c>
      <c r="I793">
        <v>12200</v>
      </c>
      <c r="J793">
        <v>12200</v>
      </c>
      <c r="K793" t="s">
        <v>38</v>
      </c>
      <c r="L793" t="s">
        <v>88</v>
      </c>
      <c r="M793" t="b">
        <v>0</v>
      </c>
      <c r="N793" t="s">
        <v>23</v>
      </c>
    </row>
    <row r="794" spans="1:14" x14ac:dyDescent="0.35">
      <c r="A794" t="s">
        <v>1033</v>
      </c>
      <c r="B794" t="s">
        <v>388</v>
      </c>
      <c r="C794" t="s">
        <v>73</v>
      </c>
      <c r="D794" t="s">
        <v>43</v>
      </c>
      <c r="E794" t="s">
        <v>94</v>
      </c>
      <c r="F794" t="s">
        <v>37</v>
      </c>
      <c r="G794" t="s">
        <v>30</v>
      </c>
      <c r="H794">
        <v>2</v>
      </c>
      <c r="I794">
        <v>19600</v>
      </c>
      <c r="J794">
        <v>39200</v>
      </c>
      <c r="K794" t="s">
        <v>38</v>
      </c>
      <c r="L794" t="s">
        <v>109</v>
      </c>
      <c r="M794" t="b">
        <v>1</v>
      </c>
      <c r="N794" t="s">
        <v>23</v>
      </c>
    </row>
    <row r="795" spans="1:14" x14ac:dyDescent="0.35">
      <c r="A795" t="s">
        <v>1034</v>
      </c>
      <c r="B795" t="s">
        <v>543</v>
      </c>
      <c r="C795" t="s">
        <v>73</v>
      </c>
      <c r="D795" t="s">
        <v>43</v>
      </c>
      <c r="E795" t="s">
        <v>97</v>
      </c>
      <c r="F795" t="s">
        <v>29</v>
      </c>
      <c r="G795" t="s">
        <v>30</v>
      </c>
      <c r="H795">
        <v>1</v>
      </c>
      <c r="I795">
        <v>33500</v>
      </c>
      <c r="J795">
        <v>33500</v>
      </c>
      <c r="K795" t="s">
        <v>31</v>
      </c>
      <c r="L795" t="s">
        <v>88</v>
      </c>
      <c r="M795" t="b">
        <v>0</v>
      </c>
      <c r="N795" t="s">
        <v>33</v>
      </c>
    </row>
    <row r="796" spans="1:14" x14ac:dyDescent="0.35">
      <c r="A796" t="s">
        <v>1035</v>
      </c>
      <c r="B796" t="s">
        <v>257</v>
      </c>
      <c r="C796" t="s">
        <v>67</v>
      </c>
      <c r="D796" t="s">
        <v>59</v>
      </c>
      <c r="E796" t="s">
        <v>52</v>
      </c>
      <c r="F796" t="s">
        <v>53</v>
      </c>
      <c r="G796" t="s">
        <v>30</v>
      </c>
      <c r="H796">
        <v>1</v>
      </c>
      <c r="I796">
        <v>7900</v>
      </c>
      <c r="J796">
        <v>7900</v>
      </c>
      <c r="K796" t="s">
        <v>54</v>
      </c>
      <c r="L796" t="s">
        <v>88</v>
      </c>
      <c r="M796" t="b">
        <v>0</v>
      </c>
      <c r="N796" t="s">
        <v>23</v>
      </c>
    </row>
    <row r="797" spans="1:14" x14ac:dyDescent="0.35">
      <c r="A797" t="s">
        <v>1036</v>
      </c>
      <c r="B797" t="s">
        <v>531</v>
      </c>
      <c r="C797" t="s">
        <v>73</v>
      </c>
      <c r="D797" t="s">
        <v>43</v>
      </c>
      <c r="E797" t="s">
        <v>74</v>
      </c>
      <c r="F797" t="s">
        <v>75</v>
      </c>
      <c r="G797" t="s">
        <v>20</v>
      </c>
      <c r="H797">
        <v>1</v>
      </c>
      <c r="I797">
        <v>4200</v>
      </c>
      <c r="J797">
        <v>4200</v>
      </c>
      <c r="K797" t="s">
        <v>38</v>
      </c>
      <c r="L797" t="s">
        <v>22</v>
      </c>
      <c r="M797" t="b">
        <v>0</v>
      </c>
      <c r="N797" t="s">
        <v>23</v>
      </c>
    </row>
    <row r="798" spans="1:14" x14ac:dyDescent="0.35">
      <c r="A798" t="s">
        <v>1037</v>
      </c>
      <c r="B798" t="s">
        <v>104</v>
      </c>
      <c r="C798" t="s">
        <v>16</v>
      </c>
      <c r="D798" t="s">
        <v>17</v>
      </c>
      <c r="E798" t="s">
        <v>120</v>
      </c>
      <c r="F798" t="s">
        <v>45</v>
      </c>
      <c r="G798" t="s">
        <v>30</v>
      </c>
      <c r="H798">
        <v>2</v>
      </c>
      <c r="I798">
        <v>51600</v>
      </c>
      <c r="J798">
        <v>103200</v>
      </c>
      <c r="K798" t="s">
        <v>46</v>
      </c>
      <c r="L798" t="s">
        <v>39</v>
      </c>
      <c r="M798" t="b">
        <v>0</v>
      </c>
      <c r="N798" t="s">
        <v>33</v>
      </c>
    </row>
    <row r="799" spans="1:14" x14ac:dyDescent="0.35">
      <c r="A799" t="s">
        <v>1038</v>
      </c>
      <c r="B799" t="s">
        <v>381</v>
      </c>
      <c r="C799" t="s">
        <v>50</v>
      </c>
      <c r="D799" t="s">
        <v>51</v>
      </c>
      <c r="E799" t="s">
        <v>44</v>
      </c>
      <c r="F799" t="s">
        <v>45</v>
      </c>
      <c r="G799" t="s">
        <v>30</v>
      </c>
      <c r="H799">
        <v>1</v>
      </c>
      <c r="I799">
        <v>27500</v>
      </c>
      <c r="J799">
        <v>27500</v>
      </c>
      <c r="K799" t="s">
        <v>54</v>
      </c>
      <c r="L799" t="s">
        <v>47</v>
      </c>
      <c r="M799" t="b">
        <v>0</v>
      </c>
      <c r="N799" t="s">
        <v>23</v>
      </c>
    </row>
    <row r="800" spans="1:14" x14ac:dyDescent="0.35">
      <c r="A800" t="s">
        <v>1039</v>
      </c>
      <c r="B800" t="s">
        <v>505</v>
      </c>
      <c r="C800" t="s">
        <v>16</v>
      </c>
      <c r="D800" t="s">
        <v>17</v>
      </c>
      <c r="E800" t="s">
        <v>80</v>
      </c>
      <c r="F800" t="s">
        <v>81</v>
      </c>
      <c r="G800" t="s">
        <v>20</v>
      </c>
      <c r="H800">
        <v>1</v>
      </c>
      <c r="I800">
        <v>11300</v>
      </c>
      <c r="J800">
        <v>11300</v>
      </c>
      <c r="K800" t="s">
        <v>54</v>
      </c>
      <c r="L800" t="s">
        <v>47</v>
      </c>
      <c r="M800" t="b">
        <v>0</v>
      </c>
      <c r="N800" t="s">
        <v>23</v>
      </c>
    </row>
    <row r="801" spans="1:14" x14ac:dyDescent="0.35">
      <c r="A801" t="s">
        <v>1040</v>
      </c>
      <c r="B801" t="s">
        <v>72</v>
      </c>
      <c r="C801" t="s">
        <v>58</v>
      </c>
      <c r="D801" t="s">
        <v>59</v>
      </c>
      <c r="E801" t="s">
        <v>44</v>
      </c>
      <c r="F801" t="s">
        <v>45</v>
      </c>
      <c r="G801" t="s">
        <v>20</v>
      </c>
      <c r="H801">
        <v>1</v>
      </c>
      <c r="I801">
        <v>27800</v>
      </c>
      <c r="J801">
        <v>27800</v>
      </c>
      <c r="K801" t="s">
        <v>38</v>
      </c>
      <c r="L801" t="s">
        <v>22</v>
      </c>
      <c r="M801" t="b">
        <v>0</v>
      </c>
      <c r="N801" t="s">
        <v>23</v>
      </c>
    </row>
    <row r="802" spans="1:14" x14ac:dyDescent="0.35">
      <c r="A802" t="s">
        <v>1041</v>
      </c>
      <c r="B802" t="s">
        <v>69</v>
      </c>
      <c r="C802" t="s">
        <v>73</v>
      </c>
      <c r="D802" t="s">
        <v>43</v>
      </c>
      <c r="E802" t="s">
        <v>18</v>
      </c>
      <c r="F802" t="s">
        <v>19</v>
      </c>
      <c r="G802" t="s">
        <v>20</v>
      </c>
      <c r="H802">
        <v>2</v>
      </c>
      <c r="I802">
        <v>23000</v>
      </c>
      <c r="J802">
        <v>46000</v>
      </c>
      <c r="K802" t="s">
        <v>70</v>
      </c>
      <c r="L802" t="s">
        <v>32</v>
      </c>
      <c r="M802" t="b">
        <v>1</v>
      </c>
      <c r="N802" t="s">
        <v>23</v>
      </c>
    </row>
    <row r="803" spans="1:14" x14ac:dyDescent="0.35">
      <c r="A803" t="s">
        <v>1042</v>
      </c>
      <c r="B803" t="s">
        <v>310</v>
      </c>
      <c r="C803" t="s">
        <v>65</v>
      </c>
      <c r="D803" t="s">
        <v>27</v>
      </c>
      <c r="E803" t="s">
        <v>28</v>
      </c>
      <c r="F803" t="s">
        <v>29</v>
      </c>
      <c r="G803" t="s">
        <v>30</v>
      </c>
      <c r="H803">
        <v>3</v>
      </c>
      <c r="I803">
        <v>117400</v>
      </c>
      <c r="J803">
        <v>352200</v>
      </c>
      <c r="K803" t="s">
        <v>54</v>
      </c>
      <c r="L803" t="s">
        <v>109</v>
      </c>
      <c r="M803" t="b">
        <v>1</v>
      </c>
      <c r="N803" t="s">
        <v>33</v>
      </c>
    </row>
    <row r="804" spans="1:14" x14ac:dyDescent="0.35">
      <c r="A804" t="s">
        <v>1043</v>
      </c>
      <c r="B804" t="s">
        <v>152</v>
      </c>
      <c r="C804" t="s">
        <v>73</v>
      </c>
      <c r="D804" t="s">
        <v>43</v>
      </c>
      <c r="E804" t="s">
        <v>44</v>
      </c>
      <c r="F804" t="s">
        <v>45</v>
      </c>
      <c r="G804" t="s">
        <v>20</v>
      </c>
      <c r="H804">
        <v>1</v>
      </c>
      <c r="I804">
        <v>27000</v>
      </c>
      <c r="J804">
        <v>27000</v>
      </c>
      <c r="K804" t="s">
        <v>54</v>
      </c>
      <c r="L804" t="s">
        <v>39</v>
      </c>
      <c r="M804" t="b">
        <v>0</v>
      </c>
      <c r="N804" t="s">
        <v>23</v>
      </c>
    </row>
    <row r="805" spans="1:14" x14ac:dyDescent="0.35">
      <c r="A805" t="s">
        <v>1044</v>
      </c>
      <c r="B805" t="s">
        <v>307</v>
      </c>
      <c r="C805" t="s">
        <v>50</v>
      </c>
      <c r="D805" t="s">
        <v>51</v>
      </c>
      <c r="E805" t="s">
        <v>97</v>
      </c>
      <c r="F805" t="s">
        <v>29</v>
      </c>
      <c r="G805" t="s">
        <v>30</v>
      </c>
      <c r="H805">
        <v>3</v>
      </c>
      <c r="I805">
        <v>33800</v>
      </c>
      <c r="J805">
        <v>101400</v>
      </c>
      <c r="K805" t="s">
        <v>31</v>
      </c>
      <c r="L805" t="s">
        <v>88</v>
      </c>
      <c r="M805" t="b">
        <v>0</v>
      </c>
      <c r="N805" t="s">
        <v>33</v>
      </c>
    </row>
    <row r="806" spans="1:14" x14ac:dyDescent="0.35">
      <c r="A806" t="s">
        <v>1045</v>
      </c>
      <c r="B806" t="s">
        <v>543</v>
      </c>
      <c r="C806" t="s">
        <v>42</v>
      </c>
      <c r="D806" t="s">
        <v>43</v>
      </c>
      <c r="E806" t="s">
        <v>120</v>
      </c>
      <c r="F806" t="s">
        <v>45</v>
      </c>
      <c r="G806" t="s">
        <v>30</v>
      </c>
      <c r="H806">
        <v>1</v>
      </c>
      <c r="I806">
        <v>52300</v>
      </c>
      <c r="J806">
        <v>52300</v>
      </c>
      <c r="K806" t="s">
        <v>31</v>
      </c>
      <c r="L806" t="s">
        <v>88</v>
      </c>
      <c r="M806" t="b">
        <v>0</v>
      </c>
      <c r="N806" t="s">
        <v>33</v>
      </c>
    </row>
    <row r="807" spans="1:14" x14ac:dyDescent="0.35">
      <c r="A807" t="s">
        <v>1046</v>
      </c>
      <c r="B807" t="s">
        <v>345</v>
      </c>
      <c r="C807" t="s">
        <v>42</v>
      </c>
      <c r="D807" t="s">
        <v>43</v>
      </c>
      <c r="E807" t="s">
        <v>52</v>
      </c>
      <c r="F807" t="s">
        <v>53</v>
      </c>
      <c r="G807" t="s">
        <v>30</v>
      </c>
      <c r="H807">
        <v>1</v>
      </c>
      <c r="I807">
        <v>8900</v>
      </c>
      <c r="J807">
        <v>8900</v>
      </c>
      <c r="K807" t="s">
        <v>21</v>
      </c>
      <c r="L807" t="s">
        <v>32</v>
      </c>
      <c r="M807" t="b">
        <v>1</v>
      </c>
      <c r="N807" t="s">
        <v>23</v>
      </c>
    </row>
    <row r="808" spans="1:14" x14ac:dyDescent="0.35">
      <c r="A808" t="s">
        <v>1047</v>
      </c>
      <c r="B808" t="s">
        <v>533</v>
      </c>
      <c r="C808" t="s">
        <v>50</v>
      </c>
      <c r="D808" t="s">
        <v>51</v>
      </c>
      <c r="E808" t="s">
        <v>102</v>
      </c>
      <c r="F808" t="s">
        <v>29</v>
      </c>
      <c r="G808" t="s">
        <v>30</v>
      </c>
      <c r="H808">
        <v>1</v>
      </c>
      <c r="I808">
        <v>28900</v>
      </c>
      <c r="J808">
        <v>28900</v>
      </c>
      <c r="K808" t="s">
        <v>54</v>
      </c>
      <c r="L808" t="s">
        <v>88</v>
      </c>
      <c r="M808" t="b">
        <v>0</v>
      </c>
      <c r="N808" t="s">
        <v>33</v>
      </c>
    </row>
    <row r="809" spans="1:14" x14ac:dyDescent="0.35">
      <c r="A809" t="s">
        <v>1048</v>
      </c>
      <c r="B809" t="s">
        <v>572</v>
      </c>
      <c r="C809" t="s">
        <v>58</v>
      </c>
      <c r="D809" t="s">
        <v>59</v>
      </c>
      <c r="E809" t="s">
        <v>36</v>
      </c>
      <c r="F809" t="s">
        <v>37</v>
      </c>
      <c r="G809" t="s">
        <v>30</v>
      </c>
      <c r="H809">
        <v>2</v>
      </c>
      <c r="I809">
        <v>42600</v>
      </c>
      <c r="J809">
        <v>85200</v>
      </c>
      <c r="K809" t="s">
        <v>21</v>
      </c>
      <c r="L809" t="s">
        <v>32</v>
      </c>
      <c r="M809" t="b">
        <v>1</v>
      </c>
      <c r="N809" t="s">
        <v>33</v>
      </c>
    </row>
    <row r="810" spans="1:14" x14ac:dyDescent="0.35">
      <c r="A810" t="s">
        <v>1049</v>
      </c>
      <c r="B810" t="s">
        <v>1050</v>
      </c>
      <c r="C810" t="s">
        <v>67</v>
      </c>
      <c r="D810" t="s">
        <v>59</v>
      </c>
      <c r="E810" t="s">
        <v>120</v>
      </c>
      <c r="F810" t="s">
        <v>45</v>
      </c>
      <c r="G810" t="s">
        <v>20</v>
      </c>
      <c r="H810">
        <v>2</v>
      </c>
      <c r="I810">
        <v>52300</v>
      </c>
      <c r="J810">
        <v>104600</v>
      </c>
      <c r="K810" t="s">
        <v>70</v>
      </c>
      <c r="L810" t="s">
        <v>39</v>
      </c>
      <c r="M810" t="b">
        <v>0</v>
      </c>
      <c r="N810" t="s">
        <v>33</v>
      </c>
    </row>
    <row r="811" spans="1:14" x14ac:dyDescent="0.35">
      <c r="A811" t="s">
        <v>1051</v>
      </c>
      <c r="B811" t="s">
        <v>362</v>
      </c>
      <c r="C811" t="s">
        <v>58</v>
      </c>
      <c r="D811" t="s">
        <v>59</v>
      </c>
      <c r="E811" t="s">
        <v>36</v>
      </c>
      <c r="F811" t="s">
        <v>37</v>
      </c>
      <c r="G811" t="s">
        <v>30</v>
      </c>
      <c r="H811">
        <v>2</v>
      </c>
      <c r="I811">
        <v>43600</v>
      </c>
      <c r="J811">
        <v>87200</v>
      </c>
      <c r="K811" t="s">
        <v>70</v>
      </c>
      <c r="L811" t="s">
        <v>39</v>
      </c>
      <c r="M811" t="b">
        <v>0</v>
      </c>
      <c r="N811" t="s">
        <v>33</v>
      </c>
    </row>
    <row r="812" spans="1:14" x14ac:dyDescent="0.35">
      <c r="A812" t="s">
        <v>1052</v>
      </c>
      <c r="B812" t="s">
        <v>220</v>
      </c>
      <c r="C812" t="s">
        <v>58</v>
      </c>
      <c r="D812" t="s">
        <v>59</v>
      </c>
      <c r="E812" t="s">
        <v>52</v>
      </c>
      <c r="F812" t="s">
        <v>53</v>
      </c>
      <c r="G812" t="s">
        <v>30</v>
      </c>
      <c r="H812">
        <v>1</v>
      </c>
      <c r="I812">
        <v>8100</v>
      </c>
      <c r="J812">
        <v>8100</v>
      </c>
      <c r="K812" t="s">
        <v>70</v>
      </c>
      <c r="L812" t="s">
        <v>109</v>
      </c>
      <c r="M812" t="b">
        <v>1</v>
      </c>
      <c r="N812" t="s">
        <v>23</v>
      </c>
    </row>
    <row r="813" spans="1:14" x14ac:dyDescent="0.35">
      <c r="A813" t="s">
        <v>1053</v>
      </c>
      <c r="B813" t="s">
        <v>163</v>
      </c>
      <c r="C813" t="s">
        <v>50</v>
      </c>
      <c r="D813" t="s">
        <v>51</v>
      </c>
      <c r="E813" t="s">
        <v>44</v>
      </c>
      <c r="F813" t="s">
        <v>45</v>
      </c>
      <c r="G813" t="s">
        <v>30</v>
      </c>
      <c r="H813">
        <v>1</v>
      </c>
      <c r="I813">
        <v>25900</v>
      </c>
      <c r="J813">
        <v>25900</v>
      </c>
      <c r="K813" t="s">
        <v>31</v>
      </c>
      <c r="L813" t="s">
        <v>109</v>
      </c>
      <c r="M813" t="b">
        <v>1</v>
      </c>
      <c r="N813" t="s">
        <v>23</v>
      </c>
    </row>
    <row r="814" spans="1:14" x14ac:dyDescent="0.35">
      <c r="A814" t="s">
        <v>1054</v>
      </c>
      <c r="B814" t="s">
        <v>101</v>
      </c>
      <c r="C814" t="s">
        <v>26</v>
      </c>
      <c r="D814" t="s">
        <v>27</v>
      </c>
      <c r="E814" t="s">
        <v>28</v>
      </c>
      <c r="F814" t="s">
        <v>29</v>
      </c>
      <c r="G814" t="s">
        <v>30</v>
      </c>
      <c r="H814">
        <v>3</v>
      </c>
      <c r="I814">
        <v>119000</v>
      </c>
      <c r="J814">
        <v>357000</v>
      </c>
      <c r="K814" t="s">
        <v>21</v>
      </c>
      <c r="L814" t="s">
        <v>88</v>
      </c>
      <c r="M814" t="b">
        <v>0</v>
      </c>
      <c r="N814" t="s">
        <v>33</v>
      </c>
    </row>
    <row r="815" spans="1:14" x14ac:dyDescent="0.35">
      <c r="A815" t="s">
        <v>1055</v>
      </c>
      <c r="B815" t="s">
        <v>176</v>
      </c>
      <c r="C815" t="s">
        <v>16</v>
      </c>
      <c r="D815" t="s">
        <v>17</v>
      </c>
      <c r="E815" t="s">
        <v>97</v>
      </c>
      <c r="F815" t="s">
        <v>29</v>
      </c>
      <c r="G815" t="s">
        <v>30</v>
      </c>
      <c r="H815">
        <v>2</v>
      </c>
      <c r="I815">
        <v>30400</v>
      </c>
      <c r="J815">
        <v>60800</v>
      </c>
      <c r="K815" t="s">
        <v>70</v>
      </c>
      <c r="L815" t="s">
        <v>55</v>
      </c>
      <c r="M815" t="b">
        <v>0</v>
      </c>
      <c r="N815" t="s">
        <v>33</v>
      </c>
    </row>
    <row r="816" spans="1:14" x14ac:dyDescent="0.35">
      <c r="A816" t="s">
        <v>1056</v>
      </c>
      <c r="B816" t="s">
        <v>322</v>
      </c>
      <c r="C816" t="s">
        <v>65</v>
      </c>
      <c r="D816" t="s">
        <v>27</v>
      </c>
      <c r="E816" t="s">
        <v>80</v>
      </c>
      <c r="F816" t="s">
        <v>81</v>
      </c>
      <c r="G816" t="s">
        <v>30</v>
      </c>
      <c r="H816">
        <v>4</v>
      </c>
      <c r="I816">
        <v>11100</v>
      </c>
      <c r="J816">
        <v>44400</v>
      </c>
      <c r="K816" t="s">
        <v>46</v>
      </c>
      <c r="L816" t="s">
        <v>55</v>
      </c>
      <c r="M816" t="b">
        <v>0</v>
      </c>
      <c r="N816" t="s">
        <v>23</v>
      </c>
    </row>
    <row r="817" spans="1:14" x14ac:dyDescent="0.35">
      <c r="A817" t="s">
        <v>1057</v>
      </c>
      <c r="B817" t="s">
        <v>131</v>
      </c>
      <c r="C817" t="s">
        <v>67</v>
      </c>
      <c r="D817" t="s">
        <v>59</v>
      </c>
      <c r="E817" t="s">
        <v>80</v>
      </c>
      <c r="F817" t="s">
        <v>81</v>
      </c>
      <c r="G817" t="s">
        <v>30</v>
      </c>
      <c r="H817">
        <v>1</v>
      </c>
      <c r="I817">
        <v>12800</v>
      </c>
      <c r="J817">
        <v>12800</v>
      </c>
      <c r="K817" t="s">
        <v>31</v>
      </c>
      <c r="L817" t="s">
        <v>32</v>
      </c>
      <c r="M817" t="b">
        <v>1</v>
      </c>
      <c r="N817" t="s">
        <v>23</v>
      </c>
    </row>
    <row r="818" spans="1:14" x14ac:dyDescent="0.35">
      <c r="A818" t="s">
        <v>1058</v>
      </c>
      <c r="B818" t="s">
        <v>285</v>
      </c>
      <c r="C818" t="s">
        <v>42</v>
      </c>
      <c r="D818" t="s">
        <v>43</v>
      </c>
      <c r="E818" t="s">
        <v>44</v>
      </c>
      <c r="F818" t="s">
        <v>45</v>
      </c>
      <c r="G818" t="s">
        <v>20</v>
      </c>
      <c r="H818">
        <v>3</v>
      </c>
      <c r="I818">
        <v>28200</v>
      </c>
      <c r="J818">
        <v>84600</v>
      </c>
      <c r="K818" t="s">
        <v>38</v>
      </c>
      <c r="L818" t="s">
        <v>109</v>
      </c>
      <c r="M818" t="b">
        <v>1</v>
      </c>
      <c r="N818" t="s">
        <v>33</v>
      </c>
    </row>
    <row r="819" spans="1:14" x14ac:dyDescent="0.35">
      <c r="A819" t="s">
        <v>1059</v>
      </c>
      <c r="B819" t="s">
        <v>79</v>
      </c>
      <c r="C819" t="s">
        <v>58</v>
      </c>
      <c r="D819" t="s">
        <v>59</v>
      </c>
      <c r="E819" t="s">
        <v>36</v>
      </c>
      <c r="F819" t="s">
        <v>37</v>
      </c>
      <c r="G819" t="s">
        <v>30</v>
      </c>
      <c r="H819">
        <v>1</v>
      </c>
      <c r="I819">
        <v>44400</v>
      </c>
      <c r="J819">
        <v>44400</v>
      </c>
      <c r="K819" t="s">
        <v>21</v>
      </c>
      <c r="L819" t="s">
        <v>39</v>
      </c>
      <c r="M819" t="b">
        <v>0</v>
      </c>
      <c r="N819" t="s">
        <v>33</v>
      </c>
    </row>
    <row r="820" spans="1:14" x14ac:dyDescent="0.35">
      <c r="A820" t="s">
        <v>1060</v>
      </c>
      <c r="B820" t="s">
        <v>156</v>
      </c>
      <c r="C820" t="s">
        <v>42</v>
      </c>
      <c r="D820" t="s">
        <v>43</v>
      </c>
      <c r="E820" t="s">
        <v>52</v>
      </c>
      <c r="F820" t="s">
        <v>53</v>
      </c>
      <c r="G820" t="s">
        <v>30</v>
      </c>
      <c r="H820">
        <v>2</v>
      </c>
      <c r="I820">
        <v>8100</v>
      </c>
      <c r="J820">
        <v>16200</v>
      </c>
      <c r="K820" t="s">
        <v>21</v>
      </c>
      <c r="L820" t="s">
        <v>55</v>
      </c>
      <c r="M820" t="b">
        <v>0</v>
      </c>
      <c r="N820" t="s">
        <v>23</v>
      </c>
    </row>
    <row r="821" spans="1:14" x14ac:dyDescent="0.35">
      <c r="A821" t="s">
        <v>1061</v>
      </c>
      <c r="B821" t="s">
        <v>543</v>
      </c>
      <c r="C821" t="s">
        <v>42</v>
      </c>
      <c r="D821" t="s">
        <v>43</v>
      </c>
      <c r="E821" t="s">
        <v>80</v>
      </c>
      <c r="F821" t="s">
        <v>81</v>
      </c>
      <c r="G821" t="s">
        <v>20</v>
      </c>
      <c r="H821">
        <v>1</v>
      </c>
      <c r="I821">
        <v>11600</v>
      </c>
      <c r="J821">
        <v>11600</v>
      </c>
      <c r="K821" t="s">
        <v>31</v>
      </c>
      <c r="L821" t="s">
        <v>88</v>
      </c>
      <c r="M821" t="b">
        <v>0</v>
      </c>
      <c r="N821" t="s">
        <v>23</v>
      </c>
    </row>
    <row r="822" spans="1:14" x14ac:dyDescent="0.35">
      <c r="A822" t="s">
        <v>1062</v>
      </c>
      <c r="B822" t="s">
        <v>239</v>
      </c>
      <c r="C822" t="s">
        <v>58</v>
      </c>
      <c r="D822" t="s">
        <v>59</v>
      </c>
      <c r="E822" t="s">
        <v>18</v>
      </c>
      <c r="F822" t="s">
        <v>19</v>
      </c>
      <c r="G822" t="s">
        <v>30</v>
      </c>
      <c r="H822">
        <v>2</v>
      </c>
      <c r="I822">
        <v>22100</v>
      </c>
      <c r="J822">
        <v>44200</v>
      </c>
      <c r="K822" t="s">
        <v>21</v>
      </c>
      <c r="L822" t="s">
        <v>22</v>
      </c>
      <c r="M822" t="b">
        <v>0</v>
      </c>
      <c r="N822" t="s">
        <v>23</v>
      </c>
    </row>
    <row r="823" spans="1:14" x14ac:dyDescent="0.35">
      <c r="A823" t="s">
        <v>1063</v>
      </c>
      <c r="B823" t="s">
        <v>108</v>
      </c>
      <c r="C823" t="s">
        <v>50</v>
      </c>
      <c r="D823" t="s">
        <v>51</v>
      </c>
      <c r="E823" t="s">
        <v>28</v>
      </c>
      <c r="F823" t="s">
        <v>29</v>
      </c>
      <c r="G823" t="s">
        <v>30</v>
      </c>
      <c r="H823">
        <v>2</v>
      </c>
      <c r="I823">
        <v>112400</v>
      </c>
      <c r="J823">
        <v>224800</v>
      </c>
      <c r="K823" t="s">
        <v>70</v>
      </c>
      <c r="L823" t="s">
        <v>109</v>
      </c>
      <c r="M823" t="b">
        <v>1</v>
      </c>
      <c r="N823" t="s">
        <v>33</v>
      </c>
    </row>
    <row r="824" spans="1:14" x14ac:dyDescent="0.35">
      <c r="A824" t="s">
        <v>1064</v>
      </c>
      <c r="B824" t="s">
        <v>186</v>
      </c>
      <c r="C824" t="s">
        <v>58</v>
      </c>
      <c r="D824" t="s">
        <v>59</v>
      </c>
      <c r="E824" t="s">
        <v>52</v>
      </c>
      <c r="F824" t="s">
        <v>53</v>
      </c>
      <c r="G824" t="s">
        <v>30</v>
      </c>
      <c r="H824">
        <v>1</v>
      </c>
      <c r="I824">
        <v>8300</v>
      </c>
      <c r="J824">
        <v>8300</v>
      </c>
      <c r="K824" t="s">
        <v>38</v>
      </c>
      <c r="L824" t="s">
        <v>109</v>
      </c>
      <c r="M824" t="b">
        <v>1</v>
      </c>
      <c r="N824" t="s">
        <v>23</v>
      </c>
    </row>
    <row r="825" spans="1:14" x14ac:dyDescent="0.35">
      <c r="A825" t="s">
        <v>1065</v>
      </c>
      <c r="B825" t="s">
        <v>300</v>
      </c>
      <c r="C825" t="s">
        <v>26</v>
      </c>
      <c r="D825" t="s">
        <v>27</v>
      </c>
      <c r="E825" t="s">
        <v>18</v>
      </c>
      <c r="F825" t="s">
        <v>19</v>
      </c>
      <c r="G825" t="s">
        <v>20</v>
      </c>
      <c r="H825">
        <v>3</v>
      </c>
      <c r="I825">
        <v>21100</v>
      </c>
      <c r="J825">
        <v>63300</v>
      </c>
      <c r="K825" t="s">
        <v>46</v>
      </c>
      <c r="L825" t="s">
        <v>39</v>
      </c>
      <c r="M825" t="b">
        <v>0</v>
      </c>
      <c r="N825" t="s">
        <v>23</v>
      </c>
    </row>
    <row r="826" spans="1:14" x14ac:dyDescent="0.35">
      <c r="A826" t="s">
        <v>1066</v>
      </c>
      <c r="B826" t="s">
        <v>690</v>
      </c>
      <c r="C826" t="s">
        <v>67</v>
      </c>
      <c r="D826" t="s">
        <v>59</v>
      </c>
      <c r="E826" t="s">
        <v>94</v>
      </c>
      <c r="F826" t="s">
        <v>37</v>
      </c>
      <c r="G826" t="s">
        <v>30</v>
      </c>
      <c r="H826">
        <v>3</v>
      </c>
      <c r="I826">
        <v>19200</v>
      </c>
      <c r="J826">
        <v>57600</v>
      </c>
      <c r="K826" t="s">
        <v>54</v>
      </c>
      <c r="L826" t="s">
        <v>32</v>
      </c>
      <c r="M826" t="b">
        <v>1</v>
      </c>
      <c r="N826" t="s">
        <v>23</v>
      </c>
    </row>
    <row r="827" spans="1:14" x14ac:dyDescent="0.35">
      <c r="A827" t="s">
        <v>1067</v>
      </c>
      <c r="B827" t="s">
        <v>808</v>
      </c>
      <c r="C827" t="s">
        <v>42</v>
      </c>
      <c r="D827" t="s">
        <v>43</v>
      </c>
      <c r="E827" t="s">
        <v>18</v>
      </c>
      <c r="F827" t="s">
        <v>19</v>
      </c>
      <c r="G827" t="s">
        <v>30</v>
      </c>
      <c r="H827">
        <v>2</v>
      </c>
      <c r="I827">
        <v>23600</v>
      </c>
      <c r="J827">
        <v>47200</v>
      </c>
      <c r="K827" t="s">
        <v>38</v>
      </c>
      <c r="L827" t="s">
        <v>32</v>
      </c>
      <c r="M827" t="b">
        <v>1</v>
      </c>
      <c r="N827" t="s">
        <v>23</v>
      </c>
    </row>
    <row r="828" spans="1:14" x14ac:dyDescent="0.35">
      <c r="A828" t="s">
        <v>1068</v>
      </c>
      <c r="B828" t="s">
        <v>1069</v>
      </c>
      <c r="C828" t="s">
        <v>67</v>
      </c>
      <c r="D828" t="s">
        <v>59</v>
      </c>
      <c r="E828" t="s">
        <v>52</v>
      </c>
      <c r="F828" t="s">
        <v>53</v>
      </c>
      <c r="G828" t="s">
        <v>20</v>
      </c>
      <c r="H828">
        <v>2</v>
      </c>
      <c r="I828">
        <v>8000</v>
      </c>
      <c r="J828">
        <v>16000</v>
      </c>
      <c r="K828" t="s">
        <v>54</v>
      </c>
      <c r="L828" t="s">
        <v>88</v>
      </c>
      <c r="M828" t="b">
        <v>0</v>
      </c>
      <c r="N828" t="s">
        <v>23</v>
      </c>
    </row>
    <row r="829" spans="1:14" x14ac:dyDescent="0.35">
      <c r="A829" t="s">
        <v>1070</v>
      </c>
      <c r="B829" t="s">
        <v>305</v>
      </c>
      <c r="C829" t="s">
        <v>67</v>
      </c>
      <c r="D829" t="s">
        <v>59</v>
      </c>
      <c r="E829" t="s">
        <v>80</v>
      </c>
      <c r="F829" t="s">
        <v>81</v>
      </c>
      <c r="G829" t="s">
        <v>20</v>
      </c>
      <c r="H829">
        <v>1</v>
      </c>
      <c r="I829">
        <v>13000</v>
      </c>
      <c r="J829">
        <v>13000</v>
      </c>
      <c r="K829" t="s">
        <v>21</v>
      </c>
      <c r="L829" t="s">
        <v>55</v>
      </c>
      <c r="M829" t="b">
        <v>0</v>
      </c>
      <c r="N829" t="s">
        <v>23</v>
      </c>
    </row>
    <row r="830" spans="1:14" x14ac:dyDescent="0.35">
      <c r="A830" t="s">
        <v>1071</v>
      </c>
      <c r="B830" t="s">
        <v>315</v>
      </c>
      <c r="C830" t="s">
        <v>16</v>
      </c>
      <c r="D830" t="s">
        <v>17</v>
      </c>
      <c r="E830" t="s">
        <v>60</v>
      </c>
      <c r="F830" t="s">
        <v>53</v>
      </c>
      <c r="G830" t="s">
        <v>30</v>
      </c>
      <c r="H830">
        <v>3</v>
      </c>
      <c r="I830">
        <v>6800</v>
      </c>
      <c r="J830">
        <v>20400</v>
      </c>
      <c r="K830" t="s">
        <v>54</v>
      </c>
      <c r="L830" t="s">
        <v>22</v>
      </c>
      <c r="M830" t="b">
        <v>0</v>
      </c>
      <c r="N830" t="s">
        <v>23</v>
      </c>
    </row>
    <row r="831" spans="1:14" x14ac:dyDescent="0.35">
      <c r="A831" t="s">
        <v>1072</v>
      </c>
      <c r="B831" t="s">
        <v>138</v>
      </c>
      <c r="C831" t="s">
        <v>58</v>
      </c>
      <c r="D831" t="s">
        <v>59</v>
      </c>
      <c r="E831" t="s">
        <v>52</v>
      </c>
      <c r="F831" t="s">
        <v>53</v>
      </c>
      <c r="G831" t="s">
        <v>30</v>
      </c>
      <c r="H831">
        <v>1</v>
      </c>
      <c r="I831">
        <v>9200</v>
      </c>
      <c r="J831">
        <v>9200</v>
      </c>
      <c r="K831" t="s">
        <v>21</v>
      </c>
      <c r="L831" t="s">
        <v>109</v>
      </c>
      <c r="M831" t="b">
        <v>1</v>
      </c>
      <c r="N831" t="s">
        <v>23</v>
      </c>
    </row>
    <row r="832" spans="1:14" x14ac:dyDescent="0.35">
      <c r="A832" t="s">
        <v>1073</v>
      </c>
      <c r="B832" t="s">
        <v>257</v>
      </c>
      <c r="C832" t="s">
        <v>67</v>
      </c>
      <c r="D832" t="s">
        <v>59</v>
      </c>
      <c r="E832" t="s">
        <v>52</v>
      </c>
      <c r="F832" t="s">
        <v>53</v>
      </c>
      <c r="G832" t="s">
        <v>30</v>
      </c>
      <c r="H832">
        <v>1</v>
      </c>
      <c r="I832">
        <v>9100</v>
      </c>
      <c r="J832">
        <v>9100</v>
      </c>
      <c r="K832" t="s">
        <v>54</v>
      </c>
      <c r="L832" t="s">
        <v>88</v>
      </c>
      <c r="M832" t="b">
        <v>0</v>
      </c>
      <c r="N832" t="s">
        <v>23</v>
      </c>
    </row>
    <row r="833" spans="1:14" x14ac:dyDescent="0.35">
      <c r="A833" t="s">
        <v>1074</v>
      </c>
      <c r="B833" t="s">
        <v>777</v>
      </c>
      <c r="C833" t="s">
        <v>50</v>
      </c>
      <c r="D833" t="s">
        <v>51</v>
      </c>
      <c r="E833" t="s">
        <v>36</v>
      </c>
      <c r="F833" t="s">
        <v>37</v>
      </c>
      <c r="G833" t="s">
        <v>30</v>
      </c>
      <c r="H833">
        <v>2</v>
      </c>
      <c r="I833">
        <v>44700</v>
      </c>
      <c r="J833">
        <v>89400</v>
      </c>
      <c r="K833" t="s">
        <v>46</v>
      </c>
      <c r="L833" t="s">
        <v>39</v>
      </c>
      <c r="M833" t="b">
        <v>0</v>
      </c>
      <c r="N833" t="s">
        <v>33</v>
      </c>
    </row>
    <row r="834" spans="1:14" x14ac:dyDescent="0.35">
      <c r="A834" t="s">
        <v>1075</v>
      </c>
      <c r="B834" t="s">
        <v>224</v>
      </c>
      <c r="C834" t="s">
        <v>73</v>
      </c>
      <c r="D834" t="s">
        <v>43</v>
      </c>
      <c r="E834" t="s">
        <v>18</v>
      </c>
      <c r="F834" t="s">
        <v>19</v>
      </c>
      <c r="G834" t="s">
        <v>20</v>
      </c>
      <c r="H834">
        <v>2</v>
      </c>
      <c r="I834">
        <v>20900</v>
      </c>
      <c r="J834">
        <v>41800</v>
      </c>
      <c r="K834" t="s">
        <v>38</v>
      </c>
      <c r="L834" t="s">
        <v>88</v>
      </c>
      <c r="M834" t="b">
        <v>0</v>
      </c>
      <c r="N834" t="s">
        <v>23</v>
      </c>
    </row>
    <row r="835" spans="1:14" x14ac:dyDescent="0.35">
      <c r="A835" t="s">
        <v>1076</v>
      </c>
      <c r="B835" t="s">
        <v>229</v>
      </c>
      <c r="C835" t="s">
        <v>16</v>
      </c>
      <c r="D835" t="s">
        <v>17</v>
      </c>
      <c r="E835" t="s">
        <v>74</v>
      </c>
      <c r="F835" t="s">
        <v>75</v>
      </c>
      <c r="G835" t="s">
        <v>30</v>
      </c>
      <c r="H835">
        <v>1</v>
      </c>
      <c r="I835">
        <v>4300</v>
      </c>
      <c r="J835">
        <v>4300</v>
      </c>
      <c r="K835" t="s">
        <v>70</v>
      </c>
      <c r="L835" t="s">
        <v>55</v>
      </c>
      <c r="M835" t="b">
        <v>0</v>
      </c>
      <c r="N835" t="s">
        <v>23</v>
      </c>
    </row>
    <row r="836" spans="1:14" x14ac:dyDescent="0.35">
      <c r="A836" t="s">
        <v>1077</v>
      </c>
      <c r="B836" t="s">
        <v>170</v>
      </c>
      <c r="C836" t="s">
        <v>65</v>
      </c>
      <c r="D836" t="s">
        <v>27</v>
      </c>
      <c r="E836" t="s">
        <v>102</v>
      </c>
      <c r="F836" t="s">
        <v>29</v>
      </c>
      <c r="G836" t="s">
        <v>20</v>
      </c>
      <c r="H836">
        <v>1</v>
      </c>
      <c r="I836">
        <v>29600</v>
      </c>
      <c r="J836">
        <v>29600</v>
      </c>
      <c r="K836" t="s">
        <v>46</v>
      </c>
      <c r="L836" t="s">
        <v>109</v>
      </c>
      <c r="M836" t="b">
        <v>1</v>
      </c>
      <c r="N836" t="s">
        <v>33</v>
      </c>
    </row>
    <row r="837" spans="1:14" x14ac:dyDescent="0.35">
      <c r="A837" t="s">
        <v>1078</v>
      </c>
      <c r="B837" t="s">
        <v>241</v>
      </c>
      <c r="C837" t="s">
        <v>58</v>
      </c>
      <c r="D837" t="s">
        <v>59</v>
      </c>
      <c r="E837" t="s">
        <v>120</v>
      </c>
      <c r="F837" t="s">
        <v>45</v>
      </c>
      <c r="G837" t="s">
        <v>30</v>
      </c>
      <c r="H837">
        <v>1</v>
      </c>
      <c r="I837">
        <v>55100</v>
      </c>
      <c r="J837">
        <v>55100</v>
      </c>
      <c r="K837" t="s">
        <v>31</v>
      </c>
      <c r="L837" t="s">
        <v>39</v>
      </c>
      <c r="M837" t="b">
        <v>0</v>
      </c>
      <c r="N837" t="s">
        <v>33</v>
      </c>
    </row>
    <row r="838" spans="1:14" x14ac:dyDescent="0.35">
      <c r="A838" t="s">
        <v>1079</v>
      </c>
      <c r="B838" t="s">
        <v>533</v>
      </c>
      <c r="C838" t="s">
        <v>50</v>
      </c>
      <c r="D838" t="s">
        <v>51</v>
      </c>
      <c r="E838" t="s">
        <v>102</v>
      </c>
      <c r="F838" t="s">
        <v>29</v>
      </c>
      <c r="G838" t="s">
        <v>30</v>
      </c>
      <c r="H838">
        <v>1</v>
      </c>
      <c r="I838">
        <v>27300</v>
      </c>
      <c r="J838">
        <v>27300</v>
      </c>
      <c r="K838" t="s">
        <v>54</v>
      </c>
      <c r="L838" t="s">
        <v>88</v>
      </c>
      <c r="M838" t="b">
        <v>0</v>
      </c>
      <c r="N838" t="s">
        <v>23</v>
      </c>
    </row>
    <row r="839" spans="1:14" x14ac:dyDescent="0.35">
      <c r="A839" t="s">
        <v>1080</v>
      </c>
      <c r="B839" t="s">
        <v>129</v>
      </c>
      <c r="C839" t="s">
        <v>26</v>
      </c>
      <c r="D839" t="s">
        <v>27</v>
      </c>
      <c r="E839" t="s">
        <v>36</v>
      </c>
      <c r="F839" t="s">
        <v>37</v>
      </c>
      <c r="G839" t="s">
        <v>20</v>
      </c>
      <c r="H839">
        <v>3</v>
      </c>
      <c r="I839">
        <v>40000</v>
      </c>
      <c r="J839">
        <v>120000</v>
      </c>
      <c r="K839" t="s">
        <v>54</v>
      </c>
      <c r="L839" t="s">
        <v>109</v>
      </c>
      <c r="M839" t="b">
        <v>1</v>
      </c>
      <c r="N839" t="s">
        <v>33</v>
      </c>
    </row>
    <row r="840" spans="1:14" x14ac:dyDescent="0.35">
      <c r="A840" t="s">
        <v>1081</v>
      </c>
      <c r="B840" t="s">
        <v>531</v>
      </c>
      <c r="C840" t="s">
        <v>42</v>
      </c>
      <c r="D840" t="s">
        <v>43</v>
      </c>
      <c r="E840" t="s">
        <v>52</v>
      </c>
      <c r="F840" t="s">
        <v>53</v>
      </c>
      <c r="G840" t="s">
        <v>30</v>
      </c>
      <c r="H840">
        <v>2</v>
      </c>
      <c r="I840">
        <v>8700</v>
      </c>
      <c r="J840">
        <v>17400</v>
      </c>
      <c r="K840" t="s">
        <v>38</v>
      </c>
      <c r="L840" t="s">
        <v>22</v>
      </c>
      <c r="M840" t="b">
        <v>0</v>
      </c>
      <c r="N840" t="s">
        <v>23</v>
      </c>
    </row>
    <row r="841" spans="1:14" x14ac:dyDescent="0.35">
      <c r="A841" t="s">
        <v>1082</v>
      </c>
      <c r="B841" t="s">
        <v>388</v>
      </c>
      <c r="C841" t="s">
        <v>65</v>
      </c>
      <c r="D841" t="s">
        <v>27</v>
      </c>
      <c r="E841" t="s">
        <v>120</v>
      </c>
      <c r="F841" t="s">
        <v>45</v>
      </c>
      <c r="G841" t="s">
        <v>30</v>
      </c>
      <c r="H841">
        <v>1</v>
      </c>
      <c r="I841">
        <v>50000</v>
      </c>
      <c r="J841">
        <v>50000</v>
      </c>
      <c r="K841" t="s">
        <v>38</v>
      </c>
      <c r="L841" t="s">
        <v>109</v>
      </c>
      <c r="M841" t="b">
        <v>1</v>
      </c>
      <c r="N841" t="s">
        <v>33</v>
      </c>
    </row>
    <row r="842" spans="1:14" x14ac:dyDescent="0.35">
      <c r="A842" t="s">
        <v>1083</v>
      </c>
      <c r="B842" t="s">
        <v>176</v>
      </c>
      <c r="C842" t="s">
        <v>50</v>
      </c>
      <c r="D842" t="s">
        <v>51</v>
      </c>
      <c r="E842" t="s">
        <v>60</v>
      </c>
      <c r="F842" t="s">
        <v>53</v>
      </c>
      <c r="G842" t="s">
        <v>20</v>
      </c>
      <c r="H842">
        <v>1</v>
      </c>
      <c r="I842">
        <v>6300</v>
      </c>
      <c r="J842">
        <v>6300</v>
      </c>
      <c r="K842" t="s">
        <v>70</v>
      </c>
      <c r="L842" t="s">
        <v>55</v>
      </c>
      <c r="M842" t="b">
        <v>0</v>
      </c>
      <c r="N842" t="s">
        <v>23</v>
      </c>
    </row>
    <row r="843" spans="1:14" x14ac:dyDescent="0.35">
      <c r="A843" t="s">
        <v>1084</v>
      </c>
      <c r="B843" t="s">
        <v>572</v>
      </c>
      <c r="C843" t="s">
        <v>50</v>
      </c>
      <c r="D843" t="s">
        <v>51</v>
      </c>
      <c r="E843" t="s">
        <v>36</v>
      </c>
      <c r="F843" t="s">
        <v>37</v>
      </c>
      <c r="G843" t="s">
        <v>20</v>
      </c>
      <c r="H843">
        <v>1</v>
      </c>
      <c r="I843">
        <v>43900</v>
      </c>
      <c r="J843">
        <v>43900</v>
      </c>
      <c r="K843" t="s">
        <v>21</v>
      </c>
      <c r="L843" t="s">
        <v>32</v>
      </c>
      <c r="M843" t="b">
        <v>1</v>
      </c>
      <c r="N843" t="s">
        <v>33</v>
      </c>
    </row>
    <row r="844" spans="1:14" x14ac:dyDescent="0.35">
      <c r="A844" t="s">
        <v>1085</v>
      </c>
      <c r="B844" t="s">
        <v>686</v>
      </c>
      <c r="C844" t="s">
        <v>67</v>
      </c>
      <c r="D844" t="s">
        <v>59</v>
      </c>
      <c r="E844" t="s">
        <v>94</v>
      </c>
      <c r="F844" t="s">
        <v>37</v>
      </c>
      <c r="G844" t="s">
        <v>20</v>
      </c>
      <c r="H844">
        <v>1</v>
      </c>
      <c r="I844">
        <v>18300</v>
      </c>
      <c r="J844">
        <v>18300</v>
      </c>
      <c r="K844" t="s">
        <v>38</v>
      </c>
      <c r="L844" t="s">
        <v>55</v>
      </c>
      <c r="M844" t="b">
        <v>0</v>
      </c>
      <c r="N844" t="s">
        <v>23</v>
      </c>
    </row>
    <row r="845" spans="1:14" x14ac:dyDescent="0.35">
      <c r="A845" t="s">
        <v>1086</v>
      </c>
      <c r="B845" t="s">
        <v>283</v>
      </c>
      <c r="C845" t="s">
        <v>16</v>
      </c>
      <c r="D845" t="s">
        <v>17</v>
      </c>
      <c r="E845" t="s">
        <v>60</v>
      </c>
      <c r="F845" t="s">
        <v>53</v>
      </c>
      <c r="G845" t="s">
        <v>30</v>
      </c>
      <c r="H845">
        <v>5</v>
      </c>
      <c r="I845">
        <v>6300</v>
      </c>
      <c r="J845">
        <v>31500</v>
      </c>
      <c r="K845" t="s">
        <v>21</v>
      </c>
      <c r="L845" t="s">
        <v>88</v>
      </c>
      <c r="M845" t="b">
        <v>0</v>
      </c>
      <c r="N845" t="s">
        <v>23</v>
      </c>
    </row>
    <row r="846" spans="1:14" x14ac:dyDescent="0.35">
      <c r="A846" t="s">
        <v>1087</v>
      </c>
      <c r="B846" t="s">
        <v>15</v>
      </c>
      <c r="C846" t="s">
        <v>58</v>
      </c>
      <c r="D846" t="s">
        <v>59</v>
      </c>
      <c r="E846" t="s">
        <v>74</v>
      </c>
      <c r="F846" t="s">
        <v>75</v>
      </c>
      <c r="G846" t="s">
        <v>20</v>
      </c>
      <c r="H846">
        <v>3</v>
      </c>
      <c r="I846">
        <v>4700</v>
      </c>
      <c r="J846">
        <v>14100</v>
      </c>
      <c r="K846" t="s">
        <v>21</v>
      </c>
      <c r="L846" t="s">
        <v>22</v>
      </c>
      <c r="M846" t="b">
        <v>0</v>
      </c>
      <c r="N846" t="s">
        <v>23</v>
      </c>
    </row>
    <row r="847" spans="1:14" x14ac:dyDescent="0.35">
      <c r="A847" t="s">
        <v>1088</v>
      </c>
      <c r="B847" t="s">
        <v>144</v>
      </c>
      <c r="C847" t="s">
        <v>50</v>
      </c>
      <c r="D847" t="s">
        <v>51</v>
      </c>
      <c r="E847" t="s">
        <v>44</v>
      </c>
      <c r="F847" t="s">
        <v>45</v>
      </c>
      <c r="G847" t="s">
        <v>30</v>
      </c>
      <c r="H847">
        <v>1</v>
      </c>
      <c r="I847">
        <v>27500</v>
      </c>
      <c r="J847">
        <v>27500</v>
      </c>
      <c r="K847" t="s">
        <v>31</v>
      </c>
      <c r="L847" t="s">
        <v>88</v>
      </c>
      <c r="M847" t="b">
        <v>0</v>
      </c>
      <c r="N847" t="s">
        <v>23</v>
      </c>
    </row>
    <row r="848" spans="1:14" x14ac:dyDescent="0.35">
      <c r="A848" t="s">
        <v>1089</v>
      </c>
      <c r="B848" t="s">
        <v>456</v>
      </c>
      <c r="C848" t="s">
        <v>26</v>
      </c>
      <c r="D848" t="s">
        <v>27</v>
      </c>
      <c r="E848" t="s">
        <v>97</v>
      </c>
      <c r="F848" t="s">
        <v>29</v>
      </c>
      <c r="G848" t="s">
        <v>30</v>
      </c>
      <c r="H848">
        <v>2</v>
      </c>
      <c r="I848">
        <v>33200</v>
      </c>
      <c r="J848">
        <v>66400</v>
      </c>
      <c r="K848" t="s">
        <v>31</v>
      </c>
      <c r="L848" t="s">
        <v>47</v>
      </c>
      <c r="M848" t="b">
        <v>0</v>
      </c>
      <c r="N848" t="s">
        <v>33</v>
      </c>
    </row>
    <row r="849" spans="1:14" x14ac:dyDescent="0.35">
      <c r="A849" t="s">
        <v>1090</v>
      </c>
      <c r="B849" t="s">
        <v>222</v>
      </c>
      <c r="C849" t="s">
        <v>65</v>
      </c>
      <c r="D849" t="s">
        <v>27</v>
      </c>
      <c r="E849" t="s">
        <v>74</v>
      </c>
      <c r="F849" t="s">
        <v>75</v>
      </c>
      <c r="G849" t="s">
        <v>20</v>
      </c>
      <c r="H849">
        <v>1</v>
      </c>
      <c r="I849">
        <v>4600</v>
      </c>
      <c r="J849">
        <v>4600</v>
      </c>
      <c r="K849" t="s">
        <v>31</v>
      </c>
      <c r="L849" t="s">
        <v>109</v>
      </c>
      <c r="M849" t="b">
        <v>1</v>
      </c>
      <c r="N849" t="s">
        <v>23</v>
      </c>
    </row>
    <row r="850" spans="1:14" x14ac:dyDescent="0.35">
      <c r="A850" t="s">
        <v>1091</v>
      </c>
      <c r="B850" t="s">
        <v>297</v>
      </c>
      <c r="C850" t="s">
        <v>65</v>
      </c>
      <c r="D850" t="s">
        <v>27</v>
      </c>
      <c r="E850" t="s">
        <v>18</v>
      </c>
      <c r="F850" t="s">
        <v>19</v>
      </c>
      <c r="G850" t="s">
        <v>30</v>
      </c>
      <c r="H850">
        <v>2</v>
      </c>
      <c r="I850">
        <v>22500</v>
      </c>
      <c r="J850">
        <v>45000</v>
      </c>
      <c r="K850" t="s">
        <v>70</v>
      </c>
      <c r="L850" t="s">
        <v>109</v>
      </c>
      <c r="M850" t="b">
        <v>1</v>
      </c>
      <c r="N850" t="s">
        <v>23</v>
      </c>
    </row>
    <row r="851" spans="1:14" x14ac:dyDescent="0.35">
      <c r="A851" t="s">
        <v>1092</v>
      </c>
      <c r="B851" t="s">
        <v>129</v>
      </c>
      <c r="C851" t="s">
        <v>67</v>
      </c>
      <c r="D851" t="s">
        <v>59</v>
      </c>
      <c r="E851" t="s">
        <v>97</v>
      </c>
      <c r="F851" t="s">
        <v>29</v>
      </c>
      <c r="G851" t="s">
        <v>20</v>
      </c>
      <c r="H851">
        <v>1</v>
      </c>
      <c r="I851">
        <v>32800</v>
      </c>
      <c r="J851">
        <v>32800</v>
      </c>
      <c r="K851" t="s">
        <v>54</v>
      </c>
      <c r="L851" t="s">
        <v>109</v>
      </c>
      <c r="M851" t="b">
        <v>1</v>
      </c>
      <c r="N851" t="s">
        <v>33</v>
      </c>
    </row>
    <row r="852" spans="1:14" x14ac:dyDescent="0.35">
      <c r="A852" t="s">
        <v>1093</v>
      </c>
      <c r="B852" t="s">
        <v>1001</v>
      </c>
      <c r="C852" t="s">
        <v>50</v>
      </c>
      <c r="D852" t="s">
        <v>51</v>
      </c>
      <c r="E852" t="s">
        <v>102</v>
      </c>
      <c r="F852" t="s">
        <v>29</v>
      </c>
      <c r="G852" t="s">
        <v>30</v>
      </c>
      <c r="H852">
        <v>2</v>
      </c>
      <c r="I852">
        <v>28600</v>
      </c>
      <c r="J852">
        <v>57200</v>
      </c>
      <c r="K852" t="s">
        <v>70</v>
      </c>
      <c r="L852" t="s">
        <v>32</v>
      </c>
      <c r="M852" t="b">
        <v>1</v>
      </c>
      <c r="N852" t="s">
        <v>33</v>
      </c>
    </row>
    <row r="853" spans="1:14" x14ac:dyDescent="0.35">
      <c r="A853" t="s">
        <v>1094</v>
      </c>
      <c r="B853" t="s">
        <v>421</v>
      </c>
      <c r="C853" t="s">
        <v>16</v>
      </c>
      <c r="D853" t="s">
        <v>17</v>
      </c>
      <c r="E853" t="s">
        <v>28</v>
      </c>
      <c r="F853" t="s">
        <v>29</v>
      </c>
      <c r="G853" t="s">
        <v>30</v>
      </c>
      <c r="H853">
        <v>2</v>
      </c>
      <c r="I853">
        <v>111800</v>
      </c>
      <c r="J853">
        <v>223600</v>
      </c>
      <c r="K853" t="s">
        <v>38</v>
      </c>
      <c r="L853" t="s">
        <v>88</v>
      </c>
      <c r="M853" t="b">
        <v>0</v>
      </c>
      <c r="N853" t="s">
        <v>33</v>
      </c>
    </row>
    <row r="854" spans="1:14" x14ac:dyDescent="0.35">
      <c r="A854" t="s">
        <v>1095</v>
      </c>
      <c r="B854" t="s">
        <v>550</v>
      </c>
      <c r="C854" t="s">
        <v>67</v>
      </c>
      <c r="D854" t="s">
        <v>59</v>
      </c>
      <c r="E854" t="s">
        <v>120</v>
      </c>
      <c r="F854" t="s">
        <v>45</v>
      </c>
      <c r="G854" t="s">
        <v>30</v>
      </c>
      <c r="H854">
        <v>1</v>
      </c>
      <c r="I854">
        <v>52500</v>
      </c>
      <c r="J854">
        <v>52500</v>
      </c>
      <c r="K854" t="s">
        <v>46</v>
      </c>
      <c r="L854" t="s">
        <v>32</v>
      </c>
      <c r="M854" t="b">
        <v>1</v>
      </c>
      <c r="N854" t="s">
        <v>33</v>
      </c>
    </row>
    <row r="855" spans="1:14" x14ac:dyDescent="0.35">
      <c r="A855" t="s">
        <v>1096</v>
      </c>
      <c r="B855" t="s">
        <v>454</v>
      </c>
      <c r="C855" t="s">
        <v>58</v>
      </c>
      <c r="D855" t="s">
        <v>59</v>
      </c>
      <c r="E855" t="s">
        <v>97</v>
      </c>
      <c r="F855" t="s">
        <v>29</v>
      </c>
      <c r="G855" t="s">
        <v>20</v>
      </c>
      <c r="H855">
        <v>1</v>
      </c>
      <c r="I855">
        <v>30700</v>
      </c>
      <c r="J855">
        <v>30700</v>
      </c>
      <c r="K855" t="s">
        <v>70</v>
      </c>
      <c r="L855" t="s">
        <v>47</v>
      </c>
      <c r="M855" t="b">
        <v>0</v>
      </c>
      <c r="N855" t="s">
        <v>33</v>
      </c>
    </row>
    <row r="856" spans="1:14" x14ac:dyDescent="0.35">
      <c r="A856" t="s">
        <v>1097</v>
      </c>
      <c r="B856" t="s">
        <v>146</v>
      </c>
      <c r="C856" t="s">
        <v>65</v>
      </c>
      <c r="D856" t="s">
        <v>27</v>
      </c>
      <c r="E856" t="s">
        <v>80</v>
      </c>
      <c r="F856" t="s">
        <v>81</v>
      </c>
      <c r="G856" t="s">
        <v>30</v>
      </c>
      <c r="H856">
        <v>1</v>
      </c>
      <c r="I856">
        <v>11800</v>
      </c>
      <c r="J856">
        <v>11800</v>
      </c>
      <c r="K856" t="s">
        <v>54</v>
      </c>
      <c r="L856" t="s">
        <v>22</v>
      </c>
      <c r="M856" t="b">
        <v>0</v>
      </c>
      <c r="N856" t="s">
        <v>23</v>
      </c>
    </row>
    <row r="857" spans="1:14" x14ac:dyDescent="0.35">
      <c r="A857" t="s">
        <v>1098</v>
      </c>
      <c r="B857" t="s">
        <v>234</v>
      </c>
      <c r="C857" t="s">
        <v>26</v>
      </c>
      <c r="D857" t="s">
        <v>27</v>
      </c>
      <c r="E857" t="s">
        <v>36</v>
      </c>
      <c r="F857" t="s">
        <v>37</v>
      </c>
      <c r="G857" t="s">
        <v>30</v>
      </c>
      <c r="H857">
        <v>2</v>
      </c>
      <c r="I857">
        <v>42900</v>
      </c>
      <c r="J857">
        <v>85800</v>
      </c>
      <c r="K857" t="s">
        <v>21</v>
      </c>
      <c r="L857" t="s">
        <v>47</v>
      </c>
      <c r="M857" t="b">
        <v>0</v>
      </c>
      <c r="N857" t="s">
        <v>33</v>
      </c>
    </row>
    <row r="858" spans="1:14" x14ac:dyDescent="0.35">
      <c r="A858" t="s">
        <v>1099</v>
      </c>
      <c r="B858" t="s">
        <v>521</v>
      </c>
      <c r="C858" t="s">
        <v>42</v>
      </c>
      <c r="D858" t="s">
        <v>43</v>
      </c>
      <c r="E858" t="s">
        <v>36</v>
      </c>
      <c r="F858" t="s">
        <v>37</v>
      </c>
      <c r="G858" t="s">
        <v>30</v>
      </c>
      <c r="H858">
        <v>1</v>
      </c>
      <c r="I858">
        <v>38900</v>
      </c>
      <c r="J858">
        <v>38900</v>
      </c>
      <c r="K858" t="s">
        <v>31</v>
      </c>
      <c r="L858" t="s">
        <v>55</v>
      </c>
      <c r="M858" t="b">
        <v>0</v>
      </c>
      <c r="N858" t="s">
        <v>33</v>
      </c>
    </row>
    <row r="859" spans="1:14" x14ac:dyDescent="0.35">
      <c r="A859" t="s">
        <v>1100</v>
      </c>
      <c r="B859" t="s">
        <v>1069</v>
      </c>
      <c r="C859" t="s">
        <v>58</v>
      </c>
      <c r="D859" t="s">
        <v>59</v>
      </c>
      <c r="E859" t="s">
        <v>102</v>
      </c>
      <c r="F859" t="s">
        <v>29</v>
      </c>
      <c r="G859" t="s">
        <v>30</v>
      </c>
      <c r="H859">
        <v>4</v>
      </c>
      <c r="I859">
        <v>31200</v>
      </c>
      <c r="J859">
        <v>124800</v>
      </c>
      <c r="K859" t="s">
        <v>54</v>
      </c>
      <c r="L859" t="s">
        <v>88</v>
      </c>
      <c r="M859" t="b">
        <v>0</v>
      </c>
      <c r="N859" t="s">
        <v>33</v>
      </c>
    </row>
    <row r="860" spans="1:14" x14ac:dyDescent="0.35">
      <c r="A860" t="s">
        <v>1101</v>
      </c>
      <c r="B860" t="s">
        <v>87</v>
      </c>
      <c r="C860" t="s">
        <v>67</v>
      </c>
      <c r="D860" t="s">
        <v>59</v>
      </c>
      <c r="E860" t="s">
        <v>28</v>
      </c>
      <c r="F860" t="s">
        <v>29</v>
      </c>
      <c r="G860" t="s">
        <v>20</v>
      </c>
      <c r="H860">
        <v>1</v>
      </c>
      <c r="I860">
        <v>106200</v>
      </c>
      <c r="J860">
        <v>106200</v>
      </c>
      <c r="K860" t="s">
        <v>70</v>
      </c>
      <c r="L860" t="s">
        <v>88</v>
      </c>
      <c r="M860" t="b">
        <v>0</v>
      </c>
      <c r="N860" t="s">
        <v>33</v>
      </c>
    </row>
    <row r="861" spans="1:14" x14ac:dyDescent="0.35">
      <c r="A861" t="s">
        <v>1102</v>
      </c>
      <c r="B861" t="s">
        <v>138</v>
      </c>
      <c r="C861" t="s">
        <v>42</v>
      </c>
      <c r="D861" t="s">
        <v>43</v>
      </c>
      <c r="E861" t="s">
        <v>18</v>
      </c>
      <c r="F861" t="s">
        <v>19</v>
      </c>
      <c r="G861" t="s">
        <v>30</v>
      </c>
      <c r="H861">
        <v>1</v>
      </c>
      <c r="I861">
        <v>22300</v>
      </c>
      <c r="J861">
        <v>22300</v>
      </c>
      <c r="K861" t="s">
        <v>21</v>
      </c>
      <c r="L861" t="s">
        <v>109</v>
      </c>
      <c r="M861" t="b">
        <v>1</v>
      </c>
      <c r="N861" t="s">
        <v>23</v>
      </c>
    </row>
    <row r="862" spans="1:14" x14ac:dyDescent="0.35">
      <c r="A862" t="s">
        <v>1103</v>
      </c>
      <c r="B862" t="s">
        <v>862</v>
      </c>
      <c r="C862" t="s">
        <v>58</v>
      </c>
      <c r="D862" t="s">
        <v>59</v>
      </c>
      <c r="E862" t="s">
        <v>80</v>
      </c>
      <c r="F862" t="s">
        <v>81</v>
      </c>
      <c r="G862" t="s">
        <v>20</v>
      </c>
      <c r="H862">
        <v>2</v>
      </c>
      <c r="I862">
        <v>12500</v>
      </c>
      <c r="J862">
        <v>25000</v>
      </c>
      <c r="K862" t="s">
        <v>31</v>
      </c>
      <c r="L862" t="s">
        <v>88</v>
      </c>
      <c r="M862" t="b">
        <v>0</v>
      </c>
      <c r="N862" t="s">
        <v>23</v>
      </c>
    </row>
    <row r="863" spans="1:14" x14ac:dyDescent="0.35">
      <c r="A863" t="s">
        <v>1104</v>
      </c>
      <c r="B863" t="s">
        <v>64</v>
      </c>
      <c r="C863" t="s">
        <v>42</v>
      </c>
      <c r="D863" t="s">
        <v>43</v>
      </c>
      <c r="E863" t="s">
        <v>44</v>
      </c>
      <c r="F863" t="s">
        <v>45</v>
      </c>
      <c r="G863" t="s">
        <v>30</v>
      </c>
      <c r="H863">
        <v>1</v>
      </c>
      <c r="I863">
        <v>25900</v>
      </c>
      <c r="J863">
        <v>25900</v>
      </c>
      <c r="K863" t="s">
        <v>46</v>
      </c>
      <c r="L863" t="s">
        <v>47</v>
      </c>
      <c r="M863" t="b">
        <v>0</v>
      </c>
      <c r="N863" t="s">
        <v>23</v>
      </c>
    </row>
    <row r="864" spans="1:14" x14ac:dyDescent="0.35">
      <c r="A864" t="s">
        <v>1105</v>
      </c>
      <c r="B864" t="s">
        <v>186</v>
      </c>
      <c r="C864" t="s">
        <v>73</v>
      </c>
      <c r="D864" t="s">
        <v>43</v>
      </c>
      <c r="E864" t="s">
        <v>80</v>
      </c>
      <c r="F864" t="s">
        <v>81</v>
      </c>
      <c r="G864" t="s">
        <v>20</v>
      </c>
      <c r="H864">
        <v>1</v>
      </c>
      <c r="I864">
        <v>12300</v>
      </c>
      <c r="J864">
        <v>12300</v>
      </c>
      <c r="K864" t="s">
        <v>38</v>
      </c>
      <c r="L864" t="s">
        <v>109</v>
      </c>
      <c r="M864" t="b">
        <v>1</v>
      </c>
      <c r="N864" t="s">
        <v>23</v>
      </c>
    </row>
    <row r="865" spans="1:14" x14ac:dyDescent="0.35">
      <c r="A865" t="s">
        <v>1106</v>
      </c>
      <c r="B865" t="s">
        <v>479</v>
      </c>
      <c r="C865" t="s">
        <v>65</v>
      </c>
      <c r="D865" t="s">
        <v>27</v>
      </c>
      <c r="E865" t="s">
        <v>36</v>
      </c>
      <c r="F865" t="s">
        <v>37</v>
      </c>
      <c r="G865" t="s">
        <v>30</v>
      </c>
      <c r="H865">
        <v>3</v>
      </c>
      <c r="I865">
        <v>42500</v>
      </c>
      <c r="J865">
        <v>127500</v>
      </c>
      <c r="K865" t="s">
        <v>38</v>
      </c>
      <c r="L865" t="s">
        <v>39</v>
      </c>
      <c r="M865" t="b">
        <v>0</v>
      </c>
      <c r="N865" t="s">
        <v>33</v>
      </c>
    </row>
    <row r="866" spans="1:14" x14ac:dyDescent="0.35">
      <c r="A866" t="s">
        <v>1107</v>
      </c>
      <c r="B866" t="s">
        <v>113</v>
      </c>
      <c r="C866" t="s">
        <v>58</v>
      </c>
      <c r="D866" t="s">
        <v>59</v>
      </c>
      <c r="E866" t="s">
        <v>36</v>
      </c>
      <c r="F866" t="s">
        <v>37</v>
      </c>
      <c r="G866" t="s">
        <v>20</v>
      </c>
      <c r="H866">
        <v>4</v>
      </c>
      <c r="I866">
        <v>45400</v>
      </c>
      <c r="J866">
        <v>181600</v>
      </c>
      <c r="K866" t="s">
        <v>46</v>
      </c>
      <c r="L866" t="s">
        <v>88</v>
      </c>
      <c r="M866" t="b">
        <v>0</v>
      </c>
      <c r="N866" t="s">
        <v>33</v>
      </c>
    </row>
    <row r="867" spans="1:14" x14ac:dyDescent="0.35">
      <c r="A867" t="s">
        <v>1108</v>
      </c>
      <c r="B867" t="s">
        <v>281</v>
      </c>
      <c r="C867" t="s">
        <v>26</v>
      </c>
      <c r="D867" t="s">
        <v>27</v>
      </c>
      <c r="E867" t="s">
        <v>94</v>
      </c>
      <c r="F867" t="s">
        <v>37</v>
      </c>
      <c r="G867" t="s">
        <v>30</v>
      </c>
      <c r="H867">
        <v>1</v>
      </c>
      <c r="I867">
        <v>17800</v>
      </c>
      <c r="J867">
        <v>17800</v>
      </c>
      <c r="K867" t="s">
        <v>46</v>
      </c>
      <c r="L867" t="s">
        <v>55</v>
      </c>
      <c r="M867" t="b">
        <v>0</v>
      </c>
      <c r="N867" t="s">
        <v>23</v>
      </c>
    </row>
    <row r="868" spans="1:14" x14ac:dyDescent="0.35">
      <c r="A868" t="s">
        <v>1109</v>
      </c>
      <c r="B868" t="s">
        <v>35</v>
      </c>
      <c r="C868" t="s">
        <v>26</v>
      </c>
      <c r="D868" t="s">
        <v>27</v>
      </c>
      <c r="E868" t="s">
        <v>36</v>
      </c>
      <c r="F868" t="s">
        <v>37</v>
      </c>
      <c r="G868" t="s">
        <v>30</v>
      </c>
      <c r="H868">
        <v>1</v>
      </c>
      <c r="I868">
        <v>41100</v>
      </c>
      <c r="J868">
        <v>41100</v>
      </c>
      <c r="K868" t="s">
        <v>38</v>
      </c>
      <c r="L868" t="s">
        <v>39</v>
      </c>
      <c r="M868" t="b">
        <v>0</v>
      </c>
      <c r="N868" t="s">
        <v>33</v>
      </c>
    </row>
    <row r="869" spans="1:14" x14ac:dyDescent="0.35">
      <c r="A869" t="s">
        <v>1110</v>
      </c>
      <c r="B869" t="s">
        <v>131</v>
      </c>
      <c r="C869" t="s">
        <v>67</v>
      </c>
      <c r="D869" t="s">
        <v>59</v>
      </c>
      <c r="E869" t="s">
        <v>102</v>
      </c>
      <c r="F869" t="s">
        <v>29</v>
      </c>
      <c r="G869" t="s">
        <v>30</v>
      </c>
      <c r="H869">
        <v>2</v>
      </c>
      <c r="I869">
        <v>27500</v>
      </c>
      <c r="J869">
        <v>55000</v>
      </c>
      <c r="K869" t="s">
        <v>31</v>
      </c>
      <c r="L869" t="s">
        <v>32</v>
      </c>
      <c r="M869" t="b">
        <v>1</v>
      </c>
      <c r="N869" t="s">
        <v>23</v>
      </c>
    </row>
    <row r="870" spans="1:14" x14ac:dyDescent="0.35">
      <c r="A870" t="s">
        <v>1111</v>
      </c>
      <c r="B870" t="s">
        <v>489</v>
      </c>
      <c r="C870" t="s">
        <v>67</v>
      </c>
      <c r="D870" t="s">
        <v>59</v>
      </c>
      <c r="E870" t="s">
        <v>60</v>
      </c>
      <c r="F870" t="s">
        <v>53</v>
      </c>
      <c r="G870" t="s">
        <v>30</v>
      </c>
      <c r="H870">
        <v>1</v>
      </c>
      <c r="I870">
        <v>6800</v>
      </c>
      <c r="J870">
        <v>6800</v>
      </c>
      <c r="K870" t="s">
        <v>21</v>
      </c>
      <c r="L870" t="s">
        <v>109</v>
      </c>
      <c r="M870" t="b">
        <v>1</v>
      </c>
      <c r="N870" t="s">
        <v>23</v>
      </c>
    </row>
    <row r="871" spans="1:14" x14ac:dyDescent="0.35">
      <c r="A871" t="s">
        <v>1112</v>
      </c>
      <c r="B871" t="s">
        <v>371</v>
      </c>
      <c r="C871" t="s">
        <v>16</v>
      </c>
      <c r="D871" t="s">
        <v>17</v>
      </c>
      <c r="E871" t="s">
        <v>94</v>
      </c>
      <c r="F871" t="s">
        <v>37</v>
      </c>
      <c r="G871" t="s">
        <v>30</v>
      </c>
      <c r="H871">
        <v>1</v>
      </c>
      <c r="I871">
        <v>19000</v>
      </c>
      <c r="J871">
        <v>19000</v>
      </c>
      <c r="K871" t="s">
        <v>46</v>
      </c>
      <c r="L871" t="s">
        <v>109</v>
      </c>
      <c r="M871" t="b">
        <v>1</v>
      </c>
      <c r="N871" t="s">
        <v>23</v>
      </c>
    </row>
    <row r="872" spans="1:14" x14ac:dyDescent="0.35">
      <c r="A872" t="s">
        <v>1113</v>
      </c>
      <c r="B872" t="s">
        <v>312</v>
      </c>
      <c r="C872" t="s">
        <v>16</v>
      </c>
      <c r="D872" t="s">
        <v>17</v>
      </c>
      <c r="E872" t="s">
        <v>97</v>
      </c>
      <c r="F872" t="s">
        <v>29</v>
      </c>
      <c r="G872" t="s">
        <v>20</v>
      </c>
      <c r="H872">
        <v>1</v>
      </c>
      <c r="I872">
        <v>31100</v>
      </c>
      <c r="J872">
        <v>31100</v>
      </c>
      <c r="K872" t="s">
        <v>54</v>
      </c>
      <c r="L872" t="s">
        <v>32</v>
      </c>
      <c r="M872" t="b">
        <v>1</v>
      </c>
      <c r="N872" t="s">
        <v>33</v>
      </c>
    </row>
    <row r="873" spans="1:14" x14ac:dyDescent="0.35">
      <c r="A873" t="s">
        <v>1114</v>
      </c>
      <c r="B873" t="s">
        <v>140</v>
      </c>
      <c r="C873" t="s">
        <v>42</v>
      </c>
      <c r="D873" t="s">
        <v>43</v>
      </c>
      <c r="E873" t="s">
        <v>94</v>
      </c>
      <c r="F873" t="s">
        <v>37</v>
      </c>
      <c r="G873" t="s">
        <v>30</v>
      </c>
      <c r="H873">
        <v>1</v>
      </c>
      <c r="I873">
        <v>19200</v>
      </c>
      <c r="J873">
        <v>19200</v>
      </c>
      <c r="K873" t="s">
        <v>38</v>
      </c>
      <c r="L873" t="s">
        <v>32</v>
      </c>
      <c r="M873" t="b">
        <v>1</v>
      </c>
      <c r="N873" t="s">
        <v>23</v>
      </c>
    </row>
    <row r="874" spans="1:14" x14ac:dyDescent="0.35">
      <c r="A874" t="s">
        <v>1115</v>
      </c>
      <c r="B874" t="s">
        <v>129</v>
      </c>
      <c r="C874" t="s">
        <v>65</v>
      </c>
      <c r="D874" t="s">
        <v>27</v>
      </c>
      <c r="E874" t="s">
        <v>18</v>
      </c>
      <c r="F874" t="s">
        <v>19</v>
      </c>
      <c r="G874" t="s">
        <v>20</v>
      </c>
      <c r="H874">
        <v>1</v>
      </c>
      <c r="I874">
        <v>20600</v>
      </c>
      <c r="J874">
        <v>20600</v>
      </c>
      <c r="K874" t="s">
        <v>54</v>
      </c>
      <c r="L874" t="s">
        <v>109</v>
      </c>
      <c r="M874" t="b">
        <v>1</v>
      </c>
      <c r="N874" t="s">
        <v>23</v>
      </c>
    </row>
    <row r="875" spans="1:14" x14ac:dyDescent="0.35">
      <c r="A875" t="s">
        <v>1116</v>
      </c>
      <c r="B875" t="s">
        <v>106</v>
      </c>
      <c r="C875" t="s">
        <v>67</v>
      </c>
      <c r="D875" t="s">
        <v>59</v>
      </c>
      <c r="E875" t="s">
        <v>74</v>
      </c>
      <c r="F875" t="s">
        <v>75</v>
      </c>
      <c r="G875" t="s">
        <v>30</v>
      </c>
      <c r="H875">
        <v>1</v>
      </c>
      <c r="I875">
        <v>4500</v>
      </c>
      <c r="J875">
        <v>4500</v>
      </c>
      <c r="K875" t="s">
        <v>21</v>
      </c>
      <c r="L875" t="s">
        <v>22</v>
      </c>
      <c r="M875" t="b">
        <v>0</v>
      </c>
      <c r="N875" t="s">
        <v>23</v>
      </c>
    </row>
    <row r="876" spans="1:14" x14ac:dyDescent="0.35">
      <c r="A876" t="s">
        <v>1117</v>
      </c>
      <c r="B876" t="s">
        <v>1118</v>
      </c>
      <c r="C876" t="s">
        <v>73</v>
      </c>
      <c r="D876" t="s">
        <v>43</v>
      </c>
      <c r="E876" t="s">
        <v>36</v>
      </c>
      <c r="F876" t="s">
        <v>37</v>
      </c>
      <c r="G876" t="s">
        <v>20</v>
      </c>
      <c r="H876">
        <v>1</v>
      </c>
      <c r="I876">
        <v>44500</v>
      </c>
      <c r="J876">
        <v>44500</v>
      </c>
      <c r="K876" t="s">
        <v>46</v>
      </c>
      <c r="L876" t="s">
        <v>55</v>
      </c>
      <c r="M876" t="b">
        <v>0</v>
      </c>
      <c r="N876" t="s">
        <v>33</v>
      </c>
    </row>
    <row r="877" spans="1:14" x14ac:dyDescent="0.35">
      <c r="A877" t="s">
        <v>1119</v>
      </c>
      <c r="B877" t="s">
        <v>178</v>
      </c>
      <c r="C877" t="s">
        <v>58</v>
      </c>
      <c r="D877" t="s">
        <v>59</v>
      </c>
      <c r="E877" t="s">
        <v>97</v>
      </c>
      <c r="F877" t="s">
        <v>29</v>
      </c>
      <c r="G877" t="s">
        <v>20</v>
      </c>
      <c r="H877">
        <v>4</v>
      </c>
      <c r="I877">
        <v>32500</v>
      </c>
      <c r="J877">
        <v>130000</v>
      </c>
      <c r="K877" t="s">
        <v>38</v>
      </c>
      <c r="L877" t="s">
        <v>47</v>
      </c>
      <c r="M877" t="b">
        <v>0</v>
      </c>
      <c r="N877" t="s">
        <v>33</v>
      </c>
    </row>
    <row r="878" spans="1:14" x14ac:dyDescent="0.35">
      <c r="A878" t="s">
        <v>1120</v>
      </c>
      <c r="B878" t="s">
        <v>787</v>
      </c>
      <c r="C878" t="s">
        <v>58</v>
      </c>
      <c r="D878" t="s">
        <v>59</v>
      </c>
      <c r="E878" t="s">
        <v>44</v>
      </c>
      <c r="F878" t="s">
        <v>45</v>
      </c>
      <c r="G878" t="s">
        <v>20</v>
      </c>
      <c r="H878">
        <v>1</v>
      </c>
      <c r="I878">
        <v>28800</v>
      </c>
      <c r="J878">
        <v>28800</v>
      </c>
      <c r="K878" t="s">
        <v>54</v>
      </c>
      <c r="L878" t="s">
        <v>32</v>
      </c>
      <c r="M878" t="b">
        <v>1</v>
      </c>
      <c r="N878" t="s">
        <v>33</v>
      </c>
    </row>
    <row r="879" spans="1:14" x14ac:dyDescent="0.35">
      <c r="A879" t="s">
        <v>1121</v>
      </c>
      <c r="B879" t="s">
        <v>345</v>
      </c>
      <c r="C879" t="s">
        <v>67</v>
      </c>
      <c r="D879" t="s">
        <v>59</v>
      </c>
      <c r="E879" t="s">
        <v>52</v>
      </c>
      <c r="F879" t="s">
        <v>53</v>
      </c>
      <c r="G879" t="s">
        <v>30</v>
      </c>
      <c r="H879">
        <v>1</v>
      </c>
      <c r="I879">
        <v>9100</v>
      </c>
      <c r="J879">
        <v>9100</v>
      </c>
      <c r="K879" t="s">
        <v>21</v>
      </c>
      <c r="L879" t="s">
        <v>32</v>
      </c>
      <c r="M879" t="b">
        <v>1</v>
      </c>
      <c r="N879" t="s">
        <v>23</v>
      </c>
    </row>
    <row r="880" spans="1:14" x14ac:dyDescent="0.35">
      <c r="A880" t="s">
        <v>1122</v>
      </c>
      <c r="B880" t="s">
        <v>574</v>
      </c>
      <c r="C880" t="s">
        <v>67</v>
      </c>
      <c r="D880" t="s">
        <v>59</v>
      </c>
      <c r="E880" t="s">
        <v>28</v>
      </c>
      <c r="F880" t="s">
        <v>29</v>
      </c>
      <c r="G880" t="s">
        <v>30</v>
      </c>
      <c r="H880">
        <v>1</v>
      </c>
      <c r="I880">
        <v>122600</v>
      </c>
      <c r="J880">
        <v>122600</v>
      </c>
      <c r="K880" t="s">
        <v>54</v>
      </c>
      <c r="L880" t="s">
        <v>55</v>
      </c>
      <c r="M880" t="b">
        <v>0</v>
      </c>
      <c r="N880" t="s">
        <v>33</v>
      </c>
    </row>
    <row r="881" spans="1:14" x14ac:dyDescent="0.35">
      <c r="A881" t="s">
        <v>1123</v>
      </c>
      <c r="B881" t="s">
        <v>79</v>
      </c>
      <c r="C881" t="s">
        <v>26</v>
      </c>
      <c r="D881" t="s">
        <v>27</v>
      </c>
      <c r="E881" t="s">
        <v>52</v>
      </c>
      <c r="F881" t="s">
        <v>53</v>
      </c>
      <c r="G881" t="s">
        <v>30</v>
      </c>
      <c r="H881">
        <v>1</v>
      </c>
      <c r="I881">
        <v>9100</v>
      </c>
      <c r="J881">
        <v>9100</v>
      </c>
      <c r="K881" t="s">
        <v>21</v>
      </c>
      <c r="L881" t="s">
        <v>39</v>
      </c>
      <c r="M881" t="b">
        <v>0</v>
      </c>
      <c r="N881" t="s">
        <v>23</v>
      </c>
    </row>
    <row r="882" spans="1:14" x14ac:dyDescent="0.35">
      <c r="A882" t="s">
        <v>1124</v>
      </c>
      <c r="B882" t="s">
        <v>184</v>
      </c>
      <c r="C882" t="s">
        <v>65</v>
      </c>
      <c r="D882" t="s">
        <v>27</v>
      </c>
      <c r="E882" t="s">
        <v>60</v>
      </c>
      <c r="F882" t="s">
        <v>53</v>
      </c>
      <c r="G882" t="s">
        <v>20</v>
      </c>
      <c r="H882">
        <v>2</v>
      </c>
      <c r="I882">
        <v>6400</v>
      </c>
      <c r="J882">
        <v>12800</v>
      </c>
      <c r="K882" t="s">
        <v>70</v>
      </c>
      <c r="L882" t="s">
        <v>109</v>
      </c>
      <c r="M882" t="b">
        <v>1</v>
      </c>
      <c r="N882" t="s">
        <v>23</v>
      </c>
    </row>
    <row r="883" spans="1:14" x14ac:dyDescent="0.35">
      <c r="A883" t="s">
        <v>1125</v>
      </c>
      <c r="B883" t="s">
        <v>172</v>
      </c>
      <c r="C883" t="s">
        <v>73</v>
      </c>
      <c r="D883" t="s">
        <v>43</v>
      </c>
      <c r="E883" t="s">
        <v>80</v>
      </c>
      <c r="F883" t="s">
        <v>81</v>
      </c>
      <c r="G883" t="s">
        <v>30</v>
      </c>
      <c r="H883">
        <v>3</v>
      </c>
      <c r="I883">
        <v>12300</v>
      </c>
      <c r="J883">
        <v>36900</v>
      </c>
      <c r="K883" t="s">
        <v>54</v>
      </c>
      <c r="L883" t="s">
        <v>88</v>
      </c>
      <c r="M883" t="b">
        <v>0</v>
      </c>
      <c r="N883" t="s">
        <v>23</v>
      </c>
    </row>
    <row r="884" spans="1:14" x14ac:dyDescent="0.35">
      <c r="A884" t="s">
        <v>1126</v>
      </c>
      <c r="B884" t="s">
        <v>41</v>
      </c>
      <c r="C884" t="s">
        <v>26</v>
      </c>
      <c r="D884" t="s">
        <v>27</v>
      </c>
      <c r="E884" t="s">
        <v>120</v>
      </c>
      <c r="F884" t="s">
        <v>45</v>
      </c>
      <c r="G884" t="s">
        <v>30</v>
      </c>
      <c r="H884">
        <v>1</v>
      </c>
      <c r="I884">
        <v>53500</v>
      </c>
      <c r="J884">
        <v>53500</v>
      </c>
      <c r="K884" t="s">
        <v>46</v>
      </c>
      <c r="L884" t="s">
        <v>47</v>
      </c>
      <c r="M884" t="b">
        <v>0</v>
      </c>
      <c r="N884" t="s">
        <v>33</v>
      </c>
    </row>
    <row r="885" spans="1:14" x14ac:dyDescent="0.35">
      <c r="A885" t="s">
        <v>1127</v>
      </c>
      <c r="B885" t="s">
        <v>456</v>
      </c>
      <c r="C885" t="s">
        <v>73</v>
      </c>
      <c r="D885" t="s">
        <v>43</v>
      </c>
      <c r="E885" t="s">
        <v>60</v>
      </c>
      <c r="F885" t="s">
        <v>53</v>
      </c>
      <c r="G885" t="s">
        <v>30</v>
      </c>
      <c r="H885">
        <v>1</v>
      </c>
      <c r="I885">
        <v>7200</v>
      </c>
      <c r="J885">
        <v>7200</v>
      </c>
      <c r="K885" t="s">
        <v>31</v>
      </c>
      <c r="L885" t="s">
        <v>47</v>
      </c>
      <c r="M885" t="b">
        <v>0</v>
      </c>
      <c r="N885" t="s">
        <v>23</v>
      </c>
    </row>
    <row r="886" spans="1:14" x14ac:dyDescent="0.35">
      <c r="A886" t="s">
        <v>1128</v>
      </c>
      <c r="B886" t="s">
        <v>127</v>
      </c>
      <c r="C886" t="s">
        <v>16</v>
      </c>
      <c r="D886" t="s">
        <v>17</v>
      </c>
      <c r="E886" t="s">
        <v>44</v>
      </c>
      <c r="F886" t="s">
        <v>45</v>
      </c>
      <c r="G886" t="s">
        <v>20</v>
      </c>
      <c r="H886">
        <v>2</v>
      </c>
      <c r="I886">
        <v>25900</v>
      </c>
      <c r="J886">
        <v>51800</v>
      </c>
      <c r="K886" t="s">
        <v>46</v>
      </c>
      <c r="L886" t="s">
        <v>109</v>
      </c>
      <c r="M886" t="b">
        <v>1</v>
      </c>
      <c r="N886" t="s">
        <v>23</v>
      </c>
    </row>
    <row r="887" spans="1:14" x14ac:dyDescent="0.35">
      <c r="A887" t="s">
        <v>1129</v>
      </c>
      <c r="B887" t="s">
        <v>531</v>
      </c>
      <c r="C887" t="s">
        <v>42</v>
      </c>
      <c r="D887" t="s">
        <v>43</v>
      </c>
      <c r="E887" t="s">
        <v>74</v>
      </c>
      <c r="F887" t="s">
        <v>75</v>
      </c>
      <c r="G887" t="s">
        <v>20</v>
      </c>
      <c r="H887">
        <v>1</v>
      </c>
      <c r="I887">
        <v>4700</v>
      </c>
      <c r="J887">
        <v>4700</v>
      </c>
      <c r="K887" t="s">
        <v>38</v>
      </c>
      <c r="L887" t="s">
        <v>22</v>
      </c>
      <c r="M887" t="b">
        <v>0</v>
      </c>
      <c r="N887" t="s">
        <v>23</v>
      </c>
    </row>
    <row r="888" spans="1:14" x14ac:dyDescent="0.35">
      <c r="A888" t="s">
        <v>1130</v>
      </c>
      <c r="B888" t="s">
        <v>1118</v>
      </c>
      <c r="C888" t="s">
        <v>65</v>
      </c>
      <c r="D888" t="s">
        <v>27</v>
      </c>
      <c r="E888" t="s">
        <v>94</v>
      </c>
      <c r="F888" t="s">
        <v>37</v>
      </c>
      <c r="G888" t="s">
        <v>20</v>
      </c>
      <c r="H888">
        <v>2</v>
      </c>
      <c r="I888">
        <v>18700</v>
      </c>
      <c r="J888">
        <v>37400</v>
      </c>
      <c r="K888" t="s">
        <v>46</v>
      </c>
      <c r="L888" t="s">
        <v>55</v>
      </c>
      <c r="M888" t="b">
        <v>0</v>
      </c>
      <c r="N888" t="s">
        <v>23</v>
      </c>
    </row>
    <row r="889" spans="1:14" x14ac:dyDescent="0.35">
      <c r="A889" t="s">
        <v>1131</v>
      </c>
      <c r="B889" t="s">
        <v>477</v>
      </c>
      <c r="C889" t="s">
        <v>42</v>
      </c>
      <c r="D889" t="s">
        <v>43</v>
      </c>
      <c r="E889" t="s">
        <v>60</v>
      </c>
      <c r="F889" t="s">
        <v>53</v>
      </c>
      <c r="G889" t="s">
        <v>20</v>
      </c>
      <c r="H889">
        <v>2</v>
      </c>
      <c r="I889">
        <v>6700</v>
      </c>
      <c r="J889">
        <v>13400</v>
      </c>
      <c r="K889" t="s">
        <v>70</v>
      </c>
      <c r="L889" t="s">
        <v>109</v>
      </c>
      <c r="M889" t="b">
        <v>1</v>
      </c>
      <c r="N889" t="s">
        <v>23</v>
      </c>
    </row>
    <row r="890" spans="1:14" x14ac:dyDescent="0.35">
      <c r="A890" t="s">
        <v>1132</v>
      </c>
      <c r="B890" t="s">
        <v>123</v>
      </c>
      <c r="C890" t="s">
        <v>42</v>
      </c>
      <c r="D890" t="s">
        <v>43</v>
      </c>
      <c r="E890" t="s">
        <v>74</v>
      </c>
      <c r="F890" t="s">
        <v>75</v>
      </c>
      <c r="G890" t="s">
        <v>30</v>
      </c>
      <c r="H890">
        <v>3</v>
      </c>
      <c r="I890">
        <v>4300</v>
      </c>
      <c r="J890">
        <v>12900</v>
      </c>
      <c r="K890" t="s">
        <v>31</v>
      </c>
      <c r="L890" t="s">
        <v>32</v>
      </c>
      <c r="M890" t="b">
        <v>1</v>
      </c>
      <c r="N890" t="s">
        <v>23</v>
      </c>
    </row>
    <row r="891" spans="1:14" x14ac:dyDescent="0.35">
      <c r="A891" t="s">
        <v>1133</v>
      </c>
      <c r="B891" t="s">
        <v>249</v>
      </c>
      <c r="C891" t="s">
        <v>16</v>
      </c>
      <c r="D891" t="s">
        <v>17</v>
      </c>
      <c r="E891" t="s">
        <v>97</v>
      </c>
      <c r="F891" t="s">
        <v>29</v>
      </c>
      <c r="G891" t="s">
        <v>30</v>
      </c>
      <c r="H891">
        <v>2</v>
      </c>
      <c r="I891">
        <v>31200</v>
      </c>
      <c r="J891">
        <v>62400</v>
      </c>
      <c r="K891" t="s">
        <v>70</v>
      </c>
      <c r="L891" t="s">
        <v>22</v>
      </c>
      <c r="M891" t="b">
        <v>0</v>
      </c>
      <c r="N891" t="s">
        <v>33</v>
      </c>
    </row>
    <row r="892" spans="1:14" x14ac:dyDescent="0.35">
      <c r="A892" t="s">
        <v>1134</v>
      </c>
      <c r="B892" t="s">
        <v>569</v>
      </c>
      <c r="C892" t="s">
        <v>42</v>
      </c>
      <c r="D892" t="s">
        <v>43</v>
      </c>
      <c r="E892" t="s">
        <v>18</v>
      </c>
      <c r="F892" t="s">
        <v>19</v>
      </c>
      <c r="G892" t="s">
        <v>30</v>
      </c>
      <c r="H892">
        <v>3</v>
      </c>
      <c r="I892">
        <v>22700</v>
      </c>
      <c r="J892">
        <v>68100</v>
      </c>
      <c r="K892" t="s">
        <v>70</v>
      </c>
      <c r="L892" t="s">
        <v>39</v>
      </c>
      <c r="M892" t="b">
        <v>0</v>
      </c>
      <c r="N892" t="s">
        <v>23</v>
      </c>
    </row>
    <row r="893" spans="1:14" x14ac:dyDescent="0.35">
      <c r="A893" t="s">
        <v>1135</v>
      </c>
      <c r="B893" t="s">
        <v>115</v>
      </c>
      <c r="C893" t="s">
        <v>16</v>
      </c>
      <c r="D893" t="s">
        <v>17</v>
      </c>
      <c r="E893" t="s">
        <v>28</v>
      </c>
      <c r="F893" t="s">
        <v>29</v>
      </c>
      <c r="G893" t="s">
        <v>20</v>
      </c>
      <c r="H893">
        <v>1</v>
      </c>
      <c r="I893">
        <v>106900</v>
      </c>
      <c r="J893">
        <v>106900</v>
      </c>
      <c r="K893" t="s">
        <v>46</v>
      </c>
      <c r="L893" t="s">
        <v>32</v>
      </c>
      <c r="M893" t="b">
        <v>1</v>
      </c>
      <c r="N893" t="s">
        <v>33</v>
      </c>
    </row>
    <row r="894" spans="1:14" x14ac:dyDescent="0.35">
      <c r="A894" t="s">
        <v>1136</v>
      </c>
      <c r="B894" t="s">
        <v>176</v>
      </c>
      <c r="C894" t="s">
        <v>26</v>
      </c>
      <c r="D894" t="s">
        <v>27</v>
      </c>
      <c r="E894" t="s">
        <v>36</v>
      </c>
      <c r="F894" t="s">
        <v>37</v>
      </c>
      <c r="G894" t="s">
        <v>30</v>
      </c>
      <c r="H894">
        <v>2</v>
      </c>
      <c r="I894">
        <v>40600</v>
      </c>
      <c r="J894">
        <v>81200</v>
      </c>
      <c r="K894" t="s">
        <v>70</v>
      </c>
      <c r="L894" t="s">
        <v>55</v>
      </c>
      <c r="M894" t="b">
        <v>0</v>
      </c>
      <c r="N894" t="s">
        <v>33</v>
      </c>
    </row>
    <row r="895" spans="1:14" x14ac:dyDescent="0.35">
      <c r="A895" t="s">
        <v>1137</v>
      </c>
      <c r="B895" t="s">
        <v>156</v>
      </c>
      <c r="C895" t="s">
        <v>16</v>
      </c>
      <c r="D895" t="s">
        <v>17</v>
      </c>
      <c r="E895" t="s">
        <v>74</v>
      </c>
      <c r="F895" t="s">
        <v>75</v>
      </c>
      <c r="G895" t="s">
        <v>30</v>
      </c>
      <c r="H895">
        <v>1</v>
      </c>
      <c r="I895">
        <v>4600</v>
      </c>
      <c r="J895">
        <v>4600</v>
      </c>
      <c r="K895" t="s">
        <v>21</v>
      </c>
      <c r="L895" t="s">
        <v>55</v>
      </c>
      <c r="M895" t="b">
        <v>0</v>
      </c>
      <c r="N895" t="s">
        <v>23</v>
      </c>
    </row>
    <row r="896" spans="1:14" x14ac:dyDescent="0.35">
      <c r="A896" t="s">
        <v>1138</v>
      </c>
      <c r="B896" t="s">
        <v>224</v>
      </c>
      <c r="C896" t="s">
        <v>73</v>
      </c>
      <c r="D896" t="s">
        <v>43</v>
      </c>
      <c r="E896" t="s">
        <v>74</v>
      </c>
      <c r="F896" t="s">
        <v>75</v>
      </c>
      <c r="G896" t="s">
        <v>30</v>
      </c>
      <c r="H896">
        <v>2</v>
      </c>
      <c r="I896">
        <v>4600</v>
      </c>
      <c r="J896">
        <v>9200</v>
      </c>
      <c r="K896" t="s">
        <v>38</v>
      </c>
      <c r="L896" t="s">
        <v>88</v>
      </c>
      <c r="M896" t="b">
        <v>0</v>
      </c>
      <c r="N896" t="s">
        <v>23</v>
      </c>
    </row>
    <row r="897" spans="1:14" x14ac:dyDescent="0.35">
      <c r="A897" t="s">
        <v>1139</v>
      </c>
      <c r="B897" t="s">
        <v>229</v>
      </c>
      <c r="C897" t="s">
        <v>73</v>
      </c>
      <c r="D897" t="s">
        <v>43</v>
      </c>
      <c r="E897" t="s">
        <v>28</v>
      </c>
      <c r="F897" t="s">
        <v>29</v>
      </c>
      <c r="G897" t="s">
        <v>30</v>
      </c>
      <c r="H897">
        <v>1</v>
      </c>
      <c r="I897">
        <v>115600</v>
      </c>
      <c r="J897">
        <v>115600</v>
      </c>
      <c r="K897" t="s">
        <v>70</v>
      </c>
      <c r="L897" t="s">
        <v>55</v>
      </c>
      <c r="M897" t="b">
        <v>0</v>
      </c>
      <c r="N897" t="s">
        <v>33</v>
      </c>
    </row>
    <row r="898" spans="1:14" x14ac:dyDescent="0.35">
      <c r="A898" t="s">
        <v>1140</v>
      </c>
      <c r="B898" t="s">
        <v>111</v>
      </c>
      <c r="C898" t="s">
        <v>42</v>
      </c>
      <c r="D898" t="s">
        <v>43</v>
      </c>
      <c r="E898" t="s">
        <v>102</v>
      </c>
      <c r="F898" t="s">
        <v>29</v>
      </c>
      <c r="G898" t="s">
        <v>30</v>
      </c>
      <c r="H898">
        <v>1</v>
      </c>
      <c r="I898">
        <v>30800</v>
      </c>
      <c r="J898">
        <v>30800</v>
      </c>
      <c r="K898" t="s">
        <v>31</v>
      </c>
      <c r="L898" t="s">
        <v>22</v>
      </c>
      <c r="M898" t="b">
        <v>0</v>
      </c>
      <c r="N898" t="s">
        <v>33</v>
      </c>
    </row>
    <row r="899" spans="1:14" x14ac:dyDescent="0.35">
      <c r="A899" t="s">
        <v>1141</v>
      </c>
      <c r="B899" t="s">
        <v>307</v>
      </c>
      <c r="C899" t="s">
        <v>42</v>
      </c>
      <c r="D899" t="s">
        <v>43</v>
      </c>
      <c r="E899" t="s">
        <v>44</v>
      </c>
      <c r="F899" t="s">
        <v>45</v>
      </c>
      <c r="G899" t="s">
        <v>30</v>
      </c>
      <c r="H899">
        <v>2</v>
      </c>
      <c r="I899">
        <v>27400</v>
      </c>
      <c r="J899">
        <v>54800</v>
      </c>
      <c r="K899" t="s">
        <v>31</v>
      </c>
      <c r="L899" t="s">
        <v>88</v>
      </c>
      <c r="M899" t="b">
        <v>0</v>
      </c>
      <c r="N899" t="s">
        <v>23</v>
      </c>
    </row>
    <row r="900" spans="1:14" x14ac:dyDescent="0.35">
      <c r="A900" t="s">
        <v>1142</v>
      </c>
      <c r="B900" t="s">
        <v>165</v>
      </c>
      <c r="C900" t="s">
        <v>58</v>
      </c>
      <c r="D900" t="s">
        <v>59</v>
      </c>
      <c r="E900" t="s">
        <v>36</v>
      </c>
      <c r="F900" t="s">
        <v>37</v>
      </c>
      <c r="G900" t="s">
        <v>30</v>
      </c>
      <c r="H900">
        <v>2</v>
      </c>
      <c r="I900">
        <v>41200</v>
      </c>
      <c r="J900">
        <v>82400</v>
      </c>
      <c r="K900" t="s">
        <v>21</v>
      </c>
      <c r="L900" t="s">
        <v>39</v>
      </c>
      <c r="M900" t="b">
        <v>0</v>
      </c>
      <c r="N900" t="s">
        <v>33</v>
      </c>
    </row>
    <row r="901" spans="1:14" x14ac:dyDescent="0.35">
      <c r="A901" t="s">
        <v>1143</v>
      </c>
      <c r="B901" t="s">
        <v>41</v>
      </c>
      <c r="C901" t="s">
        <v>65</v>
      </c>
      <c r="D901" t="s">
        <v>27</v>
      </c>
      <c r="E901" t="s">
        <v>44</v>
      </c>
      <c r="F901" t="s">
        <v>45</v>
      </c>
      <c r="G901" t="s">
        <v>20</v>
      </c>
      <c r="H901">
        <v>1</v>
      </c>
      <c r="I901">
        <v>25400</v>
      </c>
      <c r="J901">
        <v>25400</v>
      </c>
      <c r="K901" t="s">
        <v>46</v>
      </c>
      <c r="L901" t="s">
        <v>47</v>
      </c>
      <c r="M901" t="b">
        <v>0</v>
      </c>
      <c r="N901" t="s">
        <v>23</v>
      </c>
    </row>
    <row r="902" spans="1:14" x14ac:dyDescent="0.35">
      <c r="A902" t="s">
        <v>1144</v>
      </c>
      <c r="B902" t="s">
        <v>87</v>
      </c>
      <c r="C902" t="s">
        <v>67</v>
      </c>
      <c r="D902" t="s">
        <v>59</v>
      </c>
      <c r="E902" t="s">
        <v>52</v>
      </c>
      <c r="F902" t="s">
        <v>53</v>
      </c>
      <c r="G902" t="s">
        <v>30</v>
      </c>
      <c r="H902">
        <v>1</v>
      </c>
      <c r="I902">
        <v>8500</v>
      </c>
      <c r="J902">
        <v>8500</v>
      </c>
      <c r="K902" t="s">
        <v>70</v>
      </c>
      <c r="L902" t="s">
        <v>88</v>
      </c>
      <c r="M902" t="b">
        <v>0</v>
      </c>
      <c r="N902" t="s">
        <v>23</v>
      </c>
    </row>
    <row r="903" spans="1:14" x14ac:dyDescent="0.35">
      <c r="A903" t="s">
        <v>1145</v>
      </c>
      <c r="B903" t="s">
        <v>358</v>
      </c>
      <c r="C903" t="s">
        <v>50</v>
      </c>
      <c r="D903" t="s">
        <v>51</v>
      </c>
      <c r="E903" t="s">
        <v>102</v>
      </c>
      <c r="F903" t="s">
        <v>29</v>
      </c>
      <c r="G903" t="s">
        <v>30</v>
      </c>
      <c r="H903">
        <v>2</v>
      </c>
      <c r="I903">
        <v>29000</v>
      </c>
      <c r="J903">
        <v>58000</v>
      </c>
      <c r="K903" t="s">
        <v>21</v>
      </c>
      <c r="L903" t="s">
        <v>47</v>
      </c>
      <c r="M903" t="b">
        <v>0</v>
      </c>
      <c r="N903" t="s">
        <v>33</v>
      </c>
    </row>
    <row r="904" spans="1:14" x14ac:dyDescent="0.35">
      <c r="A904" t="s">
        <v>1146</v>
      </c>
      <c r="B904" t="s">
        <v>787</v>
      </c>
      <c r="C904" t="s">
        <v>73</v>
      </c>
      <c r="D904" t="s">
        <v>43</v>
      </c>
      <c r="E904" t="s">
        <v>97</v>
      </c>
      <c r="F904" t="s">
        <v>29</v>
      </c>
      <c r="G904" t="s">
        <v>20</v>
      </c>
      <c r="H904">
        <v>1</v>
      </c>
      <c r="I904">
        <v>32700</v>
      </c>
      <c r="J904">
        <v>32700</v>
      </c>
      <c r="K904" t="s">
        <v>54</v>
      </c>
      <c r="L904" t="s">
        <v>32</v>
      </c>
      <c r="M904" t="b">
        <v>1</v>
      </c>
      <c r="N904" t="s">
        <v>33</v>
      </c>
    </row>
    <row r="905" spans="1:14" x14ac:dyDescent="0.35">
      <c r="A905" t="s">
        <v>1147</v>
      </c>
      <c r="B905" t="s">
        <v>427</v>
      </c>
      <c r="C905" t="s">
        <v>50</v>
      </c>
      <c r="D905" t="s">
        <v>51</v>
      </c>
      <c r="E905" t="s">
        <v>94</v>
      </c>
      <c r="F905" t="s">
        <v>37</v>
      </c>
      <c r="G905" t="s">
        <v>30</v>
      </c>
      <c r="H905">
        <v>1</v>
      </c>
      <c r="I905">
        <v>19400</v>
      </c>
      <c r="J905">
        <v>19400</v>
      </c>
      <c r="K905" t="s">
        <v>70</v>
      </c>
      <c r="L905" t="s">
        <v>88</v>
      </c>
      <c r="M905" t="b">
        <v>0</v>
      </c>
      <c r="N905" t="s">
        <v>23</v>
      </c>
    </row>
    <row r="906" spans="1:14" x14ac:dyDescent="0.35">
      <c r="A906" t="s">
        <v>1148</v>
      </c>
      <c r="B906" t="s">
        <v>470</v>
      </c>
      <c r="C906" t="s">
        <v>65</v>
      </c>
      <c r="D906" t="s">
        <v>27</v>
      </c>
      <c r="E906" t="s">
        <v>18</v>
      </c>
      <c r="F906" t="s">
        <v>19</v>
      </c>
      <c r="G906" t="s">
        <v>20</v>
      </c>
      <c r="H906">
        <v>2</v>
      </c>
      <c r="I906">
        <v>23000</v>
      </c>
      <c r="J906">
        <v>46000</v>
      </c>
      <c r="K906" t="s">
        <v>31</v>
      </c>
      <c r="L906" t="s">
        <v>55</v>
      </c>
      <c r="M906" t="b">
        <v>0</v>
      </c>
      <c r="N906" t="s">
        <v>23</v>
      </c>
    </row>
    <row r="907" spans="1:14" x14ac:dyDescent="0.35">
      <c r="A907" t="s">
        <v>1149</v>
      </c>
      <c r="B907" t="s">
        <v>64</v>
      </c>
      <c r="C907" t="s">
        <v>58</v>
      </c>
      <c r="D907" t="s">
        <v>59</v>
      </c>
      <c r="E907" t="s">
        <v>28</v>
      </c>
      <c r="F907" t="s">
        <v>29</v>
      </c>
      <c r="G907" t="s">
        <v>20</v>
      </c>
      <c r="H907">
        <v>2</v>
      </c>
      <c r="I907">
        <v>121900</v>
      </c>
      <c r="J907">
        <v>243800</v>
      </c>
      <c r="K907" t="s">
        <v>46</v>
      </c>
      <c r="L907" t="s">
        <v>47</v>
      </c>
      <c r="M907" t="b">
        <v>0</v>
      </c>
      <c r="N907" t="s">
        <v>33</v>
      </c>
    </row>
    <row r="908" spans="1:14" x14ac:dyDescent="0.35">
      <c r="A908" t="s">
        <v>1150</v>
      </c>
      <c r="B908" t="s">
        <v>257</v>
      </c>
      <c r="C908" t="s">
        <v>42</v>
      </c>
      <c r="D908" t="s">
        <v>43</v>
      </c>
      <c r="E908" t="s">
        <v>97</v>
      </c>
      <c r="F908" t="s">
        <v>29</v>
      </c>
      <c r="G908" t="s">
        <v>20</v>
      </c>
      <c r="H908">
        <v>1</v>
      </c>
      <c r="I908">
        <v>31400</v>
      </c>
      <c r="J908">
        <v>31400</v>
      </c>
      <c r="K908" t="s">
        <v>54</v>
      </c>
      <c r="L908" t="s">
        <v>88</v>
      </c>
      <c r="M908" t="b">
        <v>0</v>
      </c>
      <c r="N908" t="s">
        <v>33</v>
      </c>
    </row>
    <row r="909" spans="1:14" x14ac:dyDescent="0.35">
      <c r="A909" t="s">
        <v>1151</v>
      </c>
      <c r="B909" t="s">
        <v>119</v>
      </c>
      <c r="C909" t="s">
        <v>42</v>
      </c>
      <c r="D909" t="s">
        <v>43</v>
      </c>
      <c r="E909" t="s">
        <v>44</v>
      </c>
      <c r="F909" t="s">
        <v>45</v>
      </c>
      <c r="G909" t="s">
        <v>30</v>
      </c>
      <c r="H909">
        <v>1</v>
      </c>
      <c r="I909">
        <v>25800</v>
      </c>
      <c r="J909">
        <v>25800</v>
      </c>
      <c r="K909" t="s">
        <v>54</v>
      </c>
      <c r="L909" t="s">
        <v>55</v>
      </c>
      <c r="M909" t="b">
        <v>0</v>
      </c>
      <c r="N909" t="s">
        <v>23</v>
      </c>
    </row>
    <row r="910" spans="1:14" x14ac:dyDescent="0.35">
      <c r="A910" t="s">
        <v>1152</v>
      </c>
      <c r="B910" t="s">
        <v>531</v>
      </c>
      <c r="C910" t="s">
        <v>65</v>
      </c>
      <c r="D910" t="s">
        <v>27</v>
      </c>
      <c r="E910" t="s">
        <v>97</v>
      </c>
      <c r="F910" t="s">
        <v>29</v>
      </c>
      <c r="G910" t="s">
        <v>30</v>
      </c>
      <c r="H910">
        <v>2</v>
      </c>
      <c r="I910">
        <v>31300</v>
      </c>
      <c r="J910">
        <v>62600</v>
      </c>
      <c r="K910" t="s">
        <v>38</v>
      </c>
      <c r="L910" t="s">
        <v>22</v>
      </c>
      <c r="M910" t="b">
        <v>0</v>
      </c>
      <c r="N910" t="s">
        <v>33</v>
      </c>
    </row>
    <row r="911" spans="1:14" x14ac:dyDescent="0.35">
      <c r="A911" t="s">
        <v>1153</v>
      </c>
      <c r="B911" t="s">
        <v>239</v>
      </c>
      <c r="C911" t="s">
        <v>65</v>
      </c>
      <c r="D911" t="s">
        <v>27</v>
      </c>
      <c r="E911" t="s">
        <v>97</v>
      </c>
      <c r="F911" t="s">
        <v>29</v>
      </c>
      <c r="G911" t="s">
        <v>30</v>
      </c>
      <c r="H911">
        <v>3</v>
      </c>
      <c r="I911">
        <v>30100</v>
      </c>
      <c r="J911">
        <v>90300</v>
      </c>
      <c r="K911" t="s">
        <v>21</v>
      </c>
      <c r="L911" t="s">
        <v>22</v>
      </c>
      <c r="M911" t="b">
        <v>0</v>
      </c>
      <c r="N911" t="s">
        <v>33</v>
      </c>
    </row>
    <row r="912" spans="1:14" x14ac:dyDescent="0.35">
      <c r="A912" t="s">
        <v>1154</v>
      </c>
      <c r="B912" t="s">
        <v>241</v>
      </c>
      <c r="C912" t="s">
        <v>16</v>
      </c>
      <c r="D912" t="s">
        <v>17</v>
      </c>
      <c r="E912" t="s">
        <v>60</v>
      </c>
      <c r="F912" t="s">
        <v>53</v>
      </c>
      <c r="G912" t="s">
        <v>20</v>
      </c>
      <c r="H912">
        <v>1</v>
      </c>
      <c r="I912">
        <v>6400</v>
      </c>
      <c r="J912">
        <v>6400</v>
      </c>
      <c r="K912" t="s">
        <v>31</v>
      </c>
      <c r="L912" t="s">
        <v>39</v>
      </c>
      <c r="M912" t="b">
        <v>0</v>
      </c>
      <c r="N912" t="s">
        <v>23</v>
      </c>
    </row>
    <row r="913" spans="1:14" x14ac:dyDescent="0.35">
      <c r="A913" t="s">
        <v>1155</v>
      </c>
      <c r="B913" t="s">
        <v>220</v>
      </c>
      <c r="C913" t="s">
        <v>26</v>
      </c>
      <c r="D913" t="s">
        <v>27</v>
      </c>
      <c r="E913" t="s">
        <v>94</v>
      </c>
      <c r="F913" t="s">
        <v>37</v>
      </c>
      <c r="G913" t="s">
        <v>30</v>
      </c>
      <c r="H913">
        <v>1</v>
      </c>
      <c r="I913">
        <v>19100</v>
      </c>
      <c r="J913">
        <v>19100</v>
      </c>
      <c r="K913" t="s">
        <v>70</v>
      </c>
      <c r="L913" t="s">
        <v>109</v>
      </c>
      <c r="M913" t="b">
        <v>1</v>
      </c>
      <c r="N913" t="s">
        <v>23</v>
      </c>
    </row>
    <row r="914" spans="1:14" x14ac:dyDescent="0.35">
      <c r="A914" t="s">
        <v>1156</v>
      </c>
      <c r="B914" t="s">
        <v>146</v>
      </c>
      <c r="C914" t="s">
        <v>65</v>
      </c>
      <c r="D914" t="s">
        <v>27</v>
      </c>
      <c r="E914" t="s">
        <v>120</v>
      </c>
      <c r="F914" t="s">
        <v>45</v>
      </c>
      <c r="G914" t="s">
        <v>30</v>
      </c>
      <c r="H914">
        <v>5</v>
      </c>
      <c r="I914">
        <v>55800</v>
      </c>
      <c r="J914">
        <v>279000</v>
      </c>
      <c r="K914" t="s">
        <v>54</v>
      </c>
      <c r="L914" t="s">
        <v>22</v>
      </c>
      <c r="M914" t="b">
        <v>0</v>
      </c>
      <c r="N914" t="s">
        <v>33</v>
      </c>
    </row>
    <row r="915" spans="1:14" x14ac:dyDescent="0.35">
      <c r="A915" t="s">
        <v>1157</v>
      </c>
      <c r="B915" t="s">
        <v>285</v>
      </c>
      <c r="C915" t="s">
        <v>67</v>
      </c>
      <c r="D915" t="s">
        <v>59</v>
      </c>
      <c r="E915" t="s">
        <v>18</v>
      </c>
      <c r="F915" t="s">
        <v>19</v>
      </c>
      <c r="G915" t="s">
        <v>20</v>
      </c>
      <c r="H915">
        <v>2</v>
      </c>
      <c r="I915">
        <v>20900</v>
      </c>
      <c r="J915">
        <v>41800</v>
      </c>
      <c r="K915" t="s">
        <v>38</v>
      </c>
      <c r="L915" t="s">
        <v>109</v>
      </c>
      <c r="M915" t="b">
        <v>1</v>
      </c>
      <c r="N915" t="s">
        <v>23</v>
      </c>
    </row>
    <row r="916" spans="1:14" x14ac:dyDescent="0.35">
      <c r="A916" t="s">
        <v>1158</v>
      </c>
      <c r="B916" t="s">
        <v>182</v>
      </c>
      <c r="C916" t="s">
        <v>65</v>
      </c>
      <c r="D916" t="s">
        <v>27</v>
      </c>
      <c r="E916" t="s">
        <v>102</v>
      </c>
      <c r="F916" t="s">
        <v>29</v>
      </c>
      <c r="G916" t="s">
        <v>30</v>
      </c>
      <c r="H916">
        <v>1</v>
      </c>
      <c r="I916">
        <v>27400</v>
      </c>
      <c r="J916">
        <v>27400</v>
      </c>
      <c r="K916" t="s">
        <v>38</v>
      </c>
      <c r="L916" t="s">
        <v>39</v>
      </c>
      <c r="M916" t="b">
        <v>0</v>
      </c>
      <c r="N916" t="s">
        <v>23</v>
      </c>
    </row>
    <row r="917" spans="1:14" x14ac:dyDescent="0.35">
      <c r="A917" t="s">
        <v>1159</v>
      </c>
      <c r="B917" t="s">
        <v>470</v>
      </c>
      <c r="C917" t="s">
        <v>42</v>
      </c>
      <c r="D917" t="s">
        <v>43</v>
      </c>
      <c r="E917" t="s">
        <v>80</v>
      </c>
      <c r="F917" t="s">
        <v>81</v>
      </c>
      <c r="G917" t="s">
        <v>30</v>
      </c>
      <c r="H917">
        <v>1</v>
      </c>
      <c r="I917">
        <v>12800</v>
      </c>
      <c r="J917">
        <v>12800</v>
      </c>
      <c r="K917" t="s">
        <v>31</v>
      </c>
      <c r="L917" t="s">
        <v>55</v>
      </c>
      <c r="M917" t="b">
        <v>0</v>
      </c>
      <c r="N917" t="s">
        <v>23</v>
      </c>
    </row>
    <row r="918" spans="1:14" x14ac:dyDescent="0.35">
      <c r="A918" t="s">
        <v>1160</v>
      </c>
      <c r="B918" t="s">
        <v>473</v>
      </c>
      <c r="C918" t="s">
        <v>16</v>
      </c>
      <c r="D918" t="s">
        <v>17</v>
      </c>
      <c r="E918" t="s">
        <v>44</v>
      </c>
      <c r="F918" t="s">
        <v>45</v>
      </c>
      <c r="G918" t="s">
        <v>20</v>
      </c>
      <c r="H918">
        <v>3</v>
      </c>
      <c r="I918">
        <v>28800</v>
      </c>
      <c r="J918">
        <v>86400</v>
      </c>
      <c r="K918" t="s">
        <v>31</v>
      </c>
      <c r="L918" t="s">
        <v>22</v>
      </c>
      <c r="M918" t="b">
        <v>0</v>
      </c>
      <c r="N918" t="s">
        <v>33</v>
      </c>
    </row>
    <row r="919" spans="1:14" x14ac:dyDescent="0.35">
      <c r="A919" t="s">
        <v>1161</v>
      </c>
      <c r="B919" t="s">
        <v>281</v>
      </c>
      <c r="C919" t="s">
        <v>58</v>
      </c>
      <c r="D919" t="s">
        <v>59</v>
      </c>
      <c r="E919" t="s">
        <v>28</v>
      </c>
      <c r="F919" t="s">
        <v>29</v>
      </c>
      <c r="G919" t="s">
        <v>30</v>
      </c>
      <c r="H919">
        <v>2</v>
      </c>
      <c r="I919">
        <v>122900</v>
      </c>
      <c r="J919">
        <v>245800</v>
      </c>
      <c r="K919" t="s">
        <v>46</v>
      </c>
      <c r="L919" t="s">
        <v>55</v>
      </c>
      <c r="M919" t="b">
        <v>0</v>
      </c>
      <c r="N919" t="s">
        <v>33</v>
      </c>
    </row>
    <row r="920" spans="1:14" x14ac:dyDescent="0.35">
      <c r="A920" t="s">
        <v>1162</v>
      </c>
      <c r="B920" t="s">
        <v>360</v>
      </c>
      <c r="C920" t="s">
        <v>58</v>
      </c>
      <c r="D920" t="s">
        <v>59</v>
      </c>
      <c r="E920" t="s">
        <v>18</v>
      </c>
      <c r="F920" t="s">
        <v>19</v>
      </c>
      <c r="G920" t="s">
        <v>30</v>
      </c>
      <c r="H920">
        <v>1</v>
      </c>
      <c r="I920">
        <v>21600</v>
      </c>
      <c r="J920">
        <v>21600</v>
      </c>
      <c r="K920" t="s">
        <v>21</v>
      </c>
      <c r="L920" t="s">
        <v>88</v>
      </c>
      <c r="M920" t="b">
        <v>0</v>
      </c>
      <c r="N920" t="s">
        <v>23</v>
      </c>
    </row>
    <row r="921" spans="1:14" x14ac:dyDescent="0.35">
      <c r="A921" t="s">
        <v>1163</v>
      </c>
      <c r="B921" t="s">
        <v>267</v>
      </c>
      <c r="C921" t="s">
        <v>50</v>
      </c>
      <c r="D921" t="s">
        <v>51</v>
      </c>
      <c r="E921" t="s">
        <v>94</v>
      </c>
      <c r="F921" t="s">
        <v>37</v>
      </c>
      <c r="G921" t="s">
        <v>20</v>
      </c>
      <c r="H921">
        <v>1</v>
      </c>
      <c r="I921">
        <v>19500</v>
      </c>
      <c r="J921">
        <v>19500</v>
      </c>
      <c r="K921" t="s">
        <v>46</v>
      </c>
      <c r="L921" t="s">
        <v>22</v>
      </c>
      <c r="M921" t="b">
        <v>0</v>
      </c>
      <c r="N921" t="s">
        <v>23</v>
      </c>
    </row>
    <row r="922" spans="1:14" x14ac:dyDescent="0.35">
      <c r="A922" t="s">
        <v>1164</v>
      </c>
      <c r="B922" t="s">
        <v>87</v>
      </c>
      <c r="C922" t="s">
        <v>58</v>
      </c>
      <c r="D922" t="s">
        <v>59</v>
      </c>
      <c r="E922" t="s">
        <v>80</v>
      </c>
      <c r="F922" t="s">
        <v>81</v>
      </c>
      <c r="G922" t="s">
        <v>20</v>
      </c>
      <c r="H922">
        <v>1</v>
      </c>
      <c r="I922">
        <v>12400</v>
      </c>
      <c r="J922">
        <v>12400</v>
      </c>
      <c r="K922" t="s">
        <v>70</v>
      </c>
      <c r="L922" t="s">
        <v>88</v>
      </c>
      <c r="M922" t="b">
        <v>0</v>
      </c>
      <c r="N922" t="s">
        <v>23</v>
      </c>
    </row>
    <row r="923" spans="1:14" x14ac:dyDescent="0.35">
      <c r="A923" t="s">
        <v>1165</v>
      </c>
      <c r="B923" t="s">
        <v>192</v>
      </c>
      <c r="C923" t="s">
        <v>58</v>
      </c>
      <c r="D923" t="s">
        <v>59</v>
      </c>
      <c r="E923" t="s">
        <v>18</v>
      </c>
      <c r="F923" t="s">
        <v>19</v>
      </c>
      <c r="G923" t="s">
        <v>30</v>
      </c>
      <c r="H923">
        <v>1</v>
      </c>
      <c r="I923">
        <v>21300</v>
      </c>
      <c r="J923">
        <v>21300</v>
      </c>
      <c r="K923" t="s">
        <v>38</v>
      </c>
      <c r="L923" t="s">
        <v>32</v>
      </c>
      <c r="M923" t="b">
        <v>1</v>
      </c>
      <c r="N923" t="s">
        <v>23</v>
      </c>
    </row>
    <row r="924" spans="1:14" x14ac:dyDescent="0.35">
      <c r="A924" t="s">
        <v>1166</v>
      </c>
      <c r="B924" t="s">
        <v>473</v>
      </c>
      <c r="C924" t="s">
        <v>16</v>
      </c>
      <c r="D924" t="s">
        <v>17</v>
      </c>
      <c r="E924" t="s">
        <v>60</v>
      </c>
      <c r="F924" t="s">
        <v>53</v>
      </c>
      <c r="G924" t="s">
        <v>30</v>
      </c>
      <c r="H924">
        <v>1</v>
      </c>
      <c r="I924">
        <v>6300</v>
      </c>
      <c r="J924">
        <v>6300</v>
      </c>
      <c r="K924" t="s">
        <v>31</v>
      </c>
      <c r="L924" t="s">
        <v>22</v>
      </c>
      <c r="M924" t="b">
        <v>0</v>
      </c>
      <c r="N924" t="s">
        <v>23</v>
      </c>
    </row>
    <row r="925" spans="1:14" x14ac:dyDescent="0.35">
      <c r="A925" t="s">
        <v>1167</v>
      </c>
      <c r="B925" t="s">
        <v>15</v>
      </c>
      <c r="C925" t="s">
        <v>50</v>
      </c>
      <c r="D925" t="s">
        <v>51</v>
      </c>
      <c r="E925" t="s">
        <v>120</v>
      </c>
      <c r="F925" t="s">
        <v>45</v>
      </c>
      <c r="G925" t="s">
        <v>30</v>
      </c>
      <c r="H925">
        <v>2</v>
      </c>
      <c r="I925">
        <v>51200</v>
      </c>
      <c r="J925">
        <v>102400</v>
      </c>
      <c r="K925" t="s">
        <v>21</v>
      </c>
      <c r="L925" t="s">
        <v>22</v>
      </c>
      <c r="M925" t="b">
        <v>0</v>
      </c>
      <c r="N925" t="s">
        <v>33</v>
      </c>
    </row>
    <row r="926" spans="1:14" x14ac:dyDescent="0.35">
      <c r="A926" t="s">
        <v>1168</v>
      </c>
      <c r="B926" t="s">
        <v>464</v>
      </c>
      <c r="C926" t="s">
        <v>65</v>
      </c>
      <c r="D926" t="s">
        <v>27</v>
      </c>
      <c r="E926" t="s">
        <v>74</v>
      </c>
      <c r="F926" t="s">
        <v>75</v>
      </c>
      <c r="G926" t="s">
        <v>20</v>
      </c>
      <c r="H926">
        <v>2</v>
      </c>
      <c r="I926">
        <v>4400</v>
      </c>
      <c r="J926">
        <v>8800</v>
      </c>
      <c r="K926" t="s">
        <v>31</v>
      </c>
      <c r="L926" t="s">
        <v>39</v>
      </c>
      <c r="M926" t="b">
        <v>0</v>
      </c>
      <c r="N926" t="s">
        <v>23</v>
      </c>
    </row>
    <row r="927" spans="1:14" x14ac:dyDescent="0.35">
      <c r="A927" t="s">
        <v>1169</v>
      </c>
      <c r="B927" t="s">
        <v>203</v>
      </c>
      <c r="C927" t="s">
        <v>16</v>
      </c>
      <c r="D927" t="s">
        <v>17</v>
      </c>
      <c r="E927" t="s">
        <v>102</v>
      </c>
      <c r="F927" t="s">
        <v>29</v>
      </c>
      <c r="G927" t="s">
        <v>20</v>
      </c>
      <c r="H927">
        <v>4</v>
      </c>
      <c r="I927">
        <v>29000</v>
      </c>
      <c r="J927">
        <v>116000</v>
      </c>
      <c r="K927" t="s">
        <v>70</v>
      </c>
      <c r="L927" t="s">
        <v>55</v>
      </c>
      <c r="M927" t="b">
        <v>0</v>
      </c>
      <c r="N927" t="s">
        <v>33</v>
      </c>
    </row>
    <row r="928" spans="1:14" x14ac:dyDescent="0.35">
      <c r="A928" t="s">
        <v>1170</v>
      </c>
      <c r="B928" t="s">
        <v>224</v>
      </c>
      <c r="C928" t="s">
        <v>16</v>
      </c>
      <c r="D928" t="s">
        <v>17</v>
      </c>
      <c r="E928" t="s">
        <v>36</v>
      </c>
      <c r="F928" t="s">
        <v>37</v>
      </c>
      <c r="G928" t="s">
        <v>20</v>
      </c>
      <c r="H928">
        <v>1</v>
      </c>
      <c r="I928">
        <v>43000</v>
      </c>
      <c r="J928">
        <v>43000</v>
      </c>
      <c r="K928" t="s">
        <v>38</v>
      </c>
      <c r="L928" t="s">
        <v>88</v>
      </c>
      <c r="M928" t="b">
        <v>0</v>
      </c>
      <c r="N928" t="s">
        <v>33</v>
      </c>
    </row>
    <row r="929" spans="1:14" x14ac:dyDescent="0.35">
      <c r="A929" t="s">
        <v>1171</v>
      </c>
      <c r="B929" t="s">
        <v>1050</v>
      </c>
      <c r="C929" t="s">
        <v>42</v>
      </c>
      <c r="D929" t="s">
        <v>43</v>
      </c>
      <c r="E929" t="s">
        <v>120</v>
      </c>
      <c r="F929" t="s">
        <v>45</v>
      </c>
      <c r="G929" t="s">
        <v>30</v>
      </c>
      <c r="H929">
        <v>1</v>
      </c>
      <c r="I929">
        <v>58100</v>
      </c>
      <c r="J929">
        <v>58100</v>
      </c>
      <c r="K929" t="s">
        <v>70</v>
      </c>
      <c r="L929" t="s">
        <v>39</v>
      </c>
      <c r="M929" t="b">
        <v>0</v>
      </c>
      <c r="N929" t="s">
        <v>33</v>
      </c>
    </row>
    <row r="930" spans="1:14" x14ac:dyDescent="0.35">
      <c r="A930" t="s">
        <v>1172</v>
      </c>
      <c r="B930" t="s">
        <v>310</v>
      </c>
      <c r="C930" t="s">
        <v>50</v>
      </c>
      <c r="D930" t="s">
        <v>51</v>
      </c>
      <c r="E930" t="s">
        <v>52</v>
      </c>
      <c r="F930" t="s">
        <v>53</v>
      </c>
      <c r="G930" t="s">
        <v>30</v>
      </c>
      <c r="H930">
        <v>5</v>
      </c>
      <c r="I930">
        <v>8500</v>
      </c>
      <c r="J930">
        <v>42500</v>
      </c>
      <c r="K930" t="s">
        <v>54</v>
      </c>
      <c r="L930" t="s">
        <v>109</v>
      </c>
      <c r="M930" t="b">
        <v>1</v>
      </c>
      <c r="N930" t="s">
        <v>23</v>
      </c>
    </row>
    <row r="931" spans="1:14" x14ac:dyDescent="0.35">
      <c r="A931" t="s">
        <v>1173</v>
      </c>
      <c r="B931" t="s">
        <v>167</v>
      </c>
      <c r="C931" t="s">
        <v>50</v>
      </c>
      <c r="D931" t="s">
        <v>51</v>
      </c>
      <c r="E931" t="s">
        <v>28</v>
      </c>
      <c r="F931" t="s">
        <v>29</v>
      </c>
      <c r="G931" t="s">
        <v>30</v>
      </c>
      <c r="H931">
        <v>2</v>
      </c>
      <c r="I931">
        <v>108200</v>
      </c>
      <c r="J931">
        <v>216400</v>
      </c>
      <c r="K931" t="s">
        <v>31</v>
      </c>
      <c r="L931" t="s">
        <v>109</v>
      </c>
      <c r="M931" t="b">
        <v>1</v>
      </c>
      <c r="N931" t="s">
        <v>33</v>
      </c>
    </row>
    <row r="932" spans="1:14" x14ac:dyDescent="0.35">
      <c r="A932" t="s">
        <v>1174</v>
      </c>
      <c r="B932" t="s">
        <v>165</v>
      </c>
      <c r="C932" t="s">
        <v>65</v>
      </c>
      <c r="D932" t="s">
        <v>27</v>
      </c>
      <c r="E932" t="s">
        <v>18</v>
      </c>
      <c r="F932" t="s">
        <v>19</v>
      </c>
      <c r="G932" t="s">
        <v>30</v>
      </c>
      <c r="H932">
        <v>2</v>
      </c>
      <c r="I932">
        <v>23200</v>
      </c>
      <c r="J932">
        <v>46400</v>
      </c>
      <c r="K932" t="s">
        <v>21</v>
      </c>
      <c r="L932" t="s">
        <v>39</v>
      </c>
      <c r="M932" t="b">
        <v>0</v>
      </c>
      <c r="N932" t="s">
        <v>23</v>
      </c>
    </row>
    <row r="933" spans="1:14" x14ac:dyDescent="0.35">
      <c r="A933" t="s">
        <v>1175</v>
      </c>
      <c r="B933" t="s">
        <v>680</v>
      </c>
      <c r="C933" t="s">
        <v>50</v>
      </c>
      <c r="D933" t="s">
        <v>51</v>
      </c>
      <c r="E933" t="s">
        <v>94</v>
      </c>
      <c r="F933" t="s">
        <v>37</v>
      </c>
      <c r="G933" t="s">
        <v>30</v>
      </c>
      <c r="H933">
        <v>2</v>
      </c>
      <c r="I933">
        <v>19800</v>
      </c>
      <c r="J933">
        <v>39600</v>
      </c>
      <c r="K933" t="s">
        <v>38</v>
      </c>
      <c r="L933" t="s">
        <v>88</v>
      </c>
      <c r="M933" t="b">
        <v>0</v>
      </c>
      <c r="N933" t="s">
        <v>23</v>
      </c>
    </row>
    <row r="934" spans="1:14" x14ac:dyDescent="0.35">
      <c r="A934" t="s">
        <v>1176</v>
      </c>
      <c r="B934" t="s">
        <v>182</v>
      </c>
      <c r="C934" t="s">
        <v>26</v>
      </c>
      <c r="D934" t="s">
        <v>27</v>
      </c>
      <c r="E934" t="s">
        <v>52</v>
      </c>
      <c r="F934" t="s">
        <v>53</v>
      </c>
      <c r="G934" t="s">
        <v>30</v>
      </c>
      <c r="H934">
        <v>1</v>
      </c>
      <c r="I934">
        <v>8500</v>
      </c>
      <c r="J934">
        <v>8500</v>
      </c>
      <c r="K934" t="s">
        <v>38</v>
      </c>
      <c r="L934" t="s">
        <v>39</v>
      </c>
      <c r="M934" t="b">
        <v>0</v>
      </c>
      <c r="N934" t="s">
        <v>23</v>
      </c>
    </row>
    <row r="935" spans="1:14" x14ac:dyDescent="0.35">
      <c r="A935" t="s">
        <v>1177</v>
      </c>
      <c r="B935" t="s">
        <v>274</v>
      </c>
      <c r="C935" t="s">
        <v>73</v>
      </c>
      <c r="D935" t="s">
        <v>43</v>
      </c>
      <c r="E935" t="s">
        <v>60</v>
      </c>
      <c r="F935" t="s">
        <v>53</v>
      </c>
      <c r="G935" t="s">
        <v>20</v>
      </c>
      <c r="H935">
        <v>1</v>
      </c>
      <c r="I935">
        <v>7300</v>
      </c>
      <c r="J935">
        <v>7300</v>
      </c>
      <c r="K935" t="s">
        <v>54</v>
      </c>
      <c r="L935" t="s">
        <v>109</v>
      </c>
      <c r="M935" t="b">
        <v>1</v>
      </c>
      <c r="N935" t="s">
        <v>23</v>
      </c>
    </row>
    <row r="936" spans="1:14" x14ac:dyDescent="0.35">
      <c r="A936" t="s">
        <v>1178</v>
      </c>
      <c r="B936" t="s">
        <v>239</v>
      </c>
      <c r="C936" t="s">
        <v>50</v>
      </c>
      <c r="D936" t="s">
        <v>51</v>
      </c>
      <c r="E936" t="s">
        <v>28</v>
      </c>
      <c r="F936" t="s">
        <v>29</v>
      </c>
      <c r="G936" t="s">
        <v>30</v>
      </c>
      <c r="H936">
        <v>1</v>
      </c>
      <c r="I936">
        <v>109300</v>
      </c>
      <c r="J936">
        <v>109300</v>
      </c>
      <c r="K936" t="s">
        <v>21</v>
      </c>
      <c r="L936" t="s">
        <v>22</v>
      </c>
      <c r="M936" t="b">
        <v>0</v>
      </c>
      <c r="N936" t="s">
        <v>33</v>
      </c>
    </row>
    <row r="937" spans="1:14" x14ac:dyDescent="0.35">
      <c r="A937" t="s">
        <v>1179</v>
      </c>
      <c r="B937" t="s">
        <v>229</v>
      </c>
      <c r="C937" t="s">
        <v>26</v>
      </c>
      <c r="D937" t="s">
        <v>27</v>
      </c>
      <c r="E937" t="s">
        <v>80</v>
      </c>
      <c r="F937" t="s">
        <v>81</v>
      </c>
      <c r="G937" t="s">
        <v>30</v>
      </c>
      <c r="H937">
        <v>2</v>
      </c>
      <c r="I937">
        <v>12700</v>
      </c>
      <c r="J937">
        <v>25400</v>
      </c>
      <c r="K937" t="s">
        <v>70</v>
      </c>
      <c r="L937" t="s">
        <v>55</v>
      </c>
      <c r="M937" t="b">
        <v>0</v>
      </c>
      <c r="N937" t="s">
        <v>23</v>
      </c>
    </row>
    <row r="938" spans="1:14" x14ac:dyDescent="0.35">
      <c r="A938" t="s">
        <v>1180</v>
      </c>
      <c r="B938" t="s">
        <v>479</v>
      </c>
      <c r="C938" t="s">
        <v>67</v>
      </c>
      <c r="D938" t="s">
        <v>59</v>
      </c>
      <c r="E938" t="s">
        <v>44</v>
      </c>
      <c r="F938" t="s">
        <v>45</v>
      </c>
      <c r="G938" t="s">
        <v>20</v>
      </c>
      <c r="H938">
        <v>2</v>
      </c>
      <c r="I938">
        <v>27800</v>
      </c>
      <c r="J938">
        <v>55600</v>
      </c>
      <c r="K938" t="s">
        <v>38</v>
      </c>
      <c r="L938" t="s">
        <v>39</v>
      </c>
      <c r="M938" t="b">
        <v>0</v>
      </c>
      <c r="N938" t="s">
        <v>23</v>
      </c>
    </row>
    <row r="939" spans="1:14" x14ac:dyDescent="0.35">
      <c r="A939" t="s">
        <v>1181</v>
      </c>
      <c r="B939" t="s">
        <v>131</v>
      </c>
      <c r="C939" t="s">
        <v>73</v>
      </c>
      <c r="D939" t="s">
        <v>43</v>
      </c>
      <c r="E939" t="s">
        <v>36</v>
      </c>
      <c r="F939" t="s">
        <v>37</v>
      </c>
      <c r="G939" t="s">
        <v>30</v>
      </c>
      <c r="H939">
        <v>2</v>
      </c>
      <c r="I939">
        <v>38700</v>
      </c>
      <c r="J939">
        <v>77400</v>
      </c>
      <c r="K939" t="s">
        <v>31</v>
      </c>
      <c r="L939" t="s">
        <v>32</v>
      </c>
      <c r="M939" t="b">
        <v>1</v>
      </c>
      <c r="N939" t="s">
        <v>33</v>
      </c>
    </row>
    <row r="940" spans="1:14" x14ac:dyDescent="0.35">
      <c r="A940" t="s">
        <v>1182</v>
      </c>
      <c r="B940" t="s">
        <v>407</v>
      </c>
      <c r="C940" t="s">
        <v>50</v>
      </c>
      <c r="D940" t="s">
        <v>51</v>
      </c>
      <c r="E940" t="s">
        <v>94</v>
      </c>
      <c r="F940" t="s">
        <v>37</v>
      </c>
      <c r="G940" t="s">
        <v>30</v>
      </c>
      <c r="H940">
        <v>2</v>
      </c>
      <c r="I940">
        <v>18300</v>
      </c>
      <c r="J940">
        <v>36600</v>
      </c>
      <c r="K940" t="s">
        <v>21</v>
      </c>
      <c r="L940" t="s">
        <v>22</v>
      </c>
      <c r="M940" t="b">
        <v>0</v>
      </c>
      <c r="N940" t="s">
        <v>23</v>
      </c>
    </row>
    <row r="941" spans="1:14" x14ac:dyDescent="0.35">
      <c r="A941" t="s">
        <v>1183</v>
      </c>
      <c r="B941" t="s">
        <v>360</v>
      </c>
      <c r="C941" t="s">
        <v>26</v>
      </c>
      <c r="D941" t="s">
        <v>27</v>
      </c>
      <c r="E941" t="s">
        <v>52</v>
      </c>
      <c r="F941" t="s">
        <v>53</v>
      </c>
      <c r="G941" t="s">
        <v>30</v>
      </c>
      <c r="H941">
        <v>1</v>
      </c>
      <c r="I941">
        <v>7800</v>
      </c>
      <c r="J941">
        <v>7800</v>
      </c>
      <c r="K941" t="s">
        <v>21</v>
      </c>
      <c r="L941" t="s">
        <v>88</v>
      </c>
      <c r="M941" t="b">
        <v>0</v>
      </c>
      <c r="N941" t="s">
        <v>23</v>
      </c>
    </row>
    <row r="942" spans="1:14" x14ac:dyDescent="0.35">
      <c r="A942" t="s">
        <v>1184</v>
      </c>
      <c r="B942" t="s">
        <v>449</v>
      </c>
      <c r="C942" t="s">
        <v>16</v>
      </c>
      <c r="D942" t="s">
        <v>17</v>
      </c>
      <c r="E942" t="s">
        <v>18</v>
      </c>
      <c r="F942" t="s">
        <v>19</v>
      </c>
      <c r="G942" t="s">
        <v>20</v>
      </c>
      <c r="H942">
        <v>3</v>
      </c>
      <c r="I942">
        <v>20600</v>
      </c>
      <c r="J942">
        <v>61800</v>
      </c>
      <c r="K942" t="s">
        <v>46</v>
      </c>
      <c r="L942" t="s">
        <v>88</v>
      </c>
      <c r="M942" t="b">
        <v>0</v>
      </c>
      <c r="N942" t="s">
        <v>23</v>
      </c>
    </row>
    <row r="943" spans="1:14" x14ac:dyDescent="0.35">
      <c r="A943" t="s">
        <v>1185</v>
      </c>
      <c r="B943" t="s">
        <v>93</v>
      </c>
      <c r="C943" t="s">
        <v>42</v>
      </c>
      <c r="D943" t="s">
        <v>43</v>
      </c>
      <c r="E943" t="s">
        <v>52</v>
      </c>
      <c r="F943" t="s">
        <v>53</v>
      </c>
      <c r="G943" t="s">
        <v>20</v>
      </c>
      <c r="H943">
        <v>2</v>
      </c>
      <c r="I943">
        <v>8800</v>
      </c>
      <c r="J943">
        <v>17600</v>
      </c>
      <c r="K943" t="s">
        <v>21</v>
      </c>
      <c r="L943" t="s">
        <v>32</v>
      </c>
      <c r="M943" t="b">
        <v>1</v>
      </c>
      <c r="N943" t="s">
        <v>23</v>
      </c>
    </row>
    <row r="944" spans="1:14" x14ac:dyDescent="0.35">
      <c r="A944" t="s">
        <v>1186</v>
      </c>
      <c r="B944" t="s">
        <v>694</v>
      </c>
      <c r="C944" t="s">
        <v>73</v>
      </c>
      <c r="D944" t="s">
        <v>43</v>
      </c>
      <c r="E944" t="s">
        <v>60</v>
      </c>
      <c r="F944" t="s">
        <v>53</v>
      </c>
      <c r="G944" t="s">
        <v>20</v>
      </c>
      <c r="H944">
        <v>2</v>
      </c>
      <c r="I944">
        <v>6600</v>
      </c>
      <c r="J944">
        <v>13200</v>
      </c>
      <c r="K944" t="s">
        <v>54</v>
      </c>
      <c r="L944" t="s">
        <v>39</v>
      </c>
      <c r="M944" t="b">
        <v>0</v>
      </c>
      <c r="N944" t="s">
        <v>23</v>
      </c>
    </row>
    <row r="945" spans="1:14" x14ac:dyDescent="0.35">
      <c r="A945" t="s">
        <v>1187</v>
      </c>
      <c r="B945" t="s">
        <v>808</v>
      </c>
      <c r="C945" t="s">
        <v>58</v>
      </c>
      <c r="D945" t="s">
        <v>59</v>
      </c>
      <c r="E945" t="s">
        <v>80</v>
      </c>
      <c r="F945" t="s">
        <v>81</v>
      </c>
      <c r="G945" t="s">
        <v>20</v>
      </c>
      <c r="H945">
        <v>5</v>
      </c>
      <c r="I945">
        <v>11300</v>
      </c>
      <c r="J945">
        <v>56500</v>
      </c>
      <c r="K945" t="s">
        <v>38</v>
      </c>
      <c r="L945" t="s">
        <v>32</v>
      </c>
      <c r="M945" t="b">
        <v>1</v>
      </c>
      <c r="N945" t="s">
        <v>23</v>
      </c>
    </row>
    <row r="946" spans="1:14" x14ac:dyDescent="0.35">
      <c r="A946" t="s">
        <v>1188</v>
      </c>
      <c r="B946" t="s">
        <v>174</v>
      </c>
      <c r="C946" t="s">
        <v>65</v>
      </c>
      <c r="D946" t="s">
        <v>27</v>
      </c>
      <c r="E946" t="s">
        <v>74</v>
      </c>
      <c r="F946" t="s">
        <v>75</v>
      </c>
      <c r="G946" t="s">
        <v>30</v>
      </c>
      <c r="H946">
        <v>1</v>
      </c>
      <c r="I946">
        <v>4500</v>
      </c>
      <c r="J946">
        <v>4500</v>
      </c>
      <c r="K946" t="s">
        <v>31</v>
      </c>
      <c r="L946" t="s">
        <v>39</v>
      </c>
      <c r="M946" t="b">
        <v>0</v>
      </c>
      <c r="N946" t="s">
        <v>23</v>
      </c>
    </row>
    <row r="947" spans="1:14" x14ac:dyDescent="0.35">
      <c r="A947" t="s">
        <v>1189</v>
      </c>
      <c r="B947" t="s">
        <v>142</v>
      </c>
      <c r="C947" t="s">
        <v>67</v>
      </c>
      <c r="D947" t="s">
        <v>59</v>
      </c>
      <c r="E947" t="s">
        <v>28</v>
      </c>
      <c r="F947" t="s">
        <v>29</v>
      </c>
      <c r="G947" t="s">
        <v>30</v>
      </c>
      <c r="H947">
        <v>1</v>
      </c>
      <c r="I947">
        <v>121000</v>
      </c>
      <c r="J947">
        <v>121000</v>
      </c>
      <c r="K947" t="s">
        <v>38</v>
      </c>
      <c r="L947" t="s">
        <v>39</v>
      </c>
      <c r="M947" t="b">
        <v>0</v>
      </c>
      <c r="N947" t="s">
        <v>33</v>
      </c>
    </row>
    <row r="948" spans="1:14" x14ac:dyDescent="0.35">
      <c r="A948" t="s">
        <v>1190</v>
      </c>
      <c r="B948" t="s">
        <v>270</v>
      </c>
      <c r="C948" t="s">
        <v>26</v>
      </c>
      <c r="D948" t="s">
        <v>27</v>
      </c>
      <c r="E948" t="s">
        <v>80</v>
      </c>
      <c r="F948" t="s">
        <v>81</v>
      </c>
      <c r="G948" t="s">
        <v>30</v>
      </c>
      <c r="H948">
        <v>2</v>
      </c>
      <c r="I948">
        <v>11300</v>
      </c>
      <c r="J948">
        <v>22600</v>
      </c>
      <c r="K948" t="s">
        <v>54</v>
      </c>
      <c r="L948" t="s">
        <v>55</v>
      </c>
      <c r="M948" t="b">
        <v>0</v>
      </c>
      <c r="N948" t="s">
        <v>23</v>
      </c>
    </row>
    <row r="949" spans="1:14" x14ac:dyDescent="0.35">
      <c r="A949" t="s">
        <v>1191</v>
      </c>
      <c r="B949" t="s">
        <v>404</v>
      </c>
      <c r="C949" t="s">
        <v>58</v>
      </c>
      <c r="D949" t="s">
        <v>59</v>
      </c>
      <c r="E949" t="s">
        <v>18</v>
      </c>
      <c r="F949" t="s">
        <v>19</v>
      </c>
      <c r="G949" t="s">
        <v>30</v>
      </c>
      <c r="H949">
        <v>1</v>
      </c>
      <c r="I949">
        <v>21400</v>
      </c>
      <c r="J949">
        <v>21400</v>
      </c>
      <c r="K949" t="s">
        <v>70</v>
      </c>
      <c r="L949" t="s">
        <v>32</v>
      </c>
      <c r="M949" t="b">
        <v>1</v>
      </c>
      <c r="N949" t="s">
        <v>23</v>
      </c>
    </row>
    <row r="950" spans="1:14" x14ac:dyDescent="0.35">
      <c r="A950" t="s">
        <v>1192</v>
      </c>
      <c r="B950" t="s">
        <v>231</v>
      </c>
      <c r="C950" t="s">
        <v>67</v>
      </c>
      <c r="D950" t="s">
        <v>59</v>
      </c>
      <c r="E950" t="s">
        <v>18</v>
      </c>
      <c r="F950" t="s">
        <v>19</v>
      </c>
      <c r="G950" t="s">
        <v>30</v>
      </c>
      <c r="H950">
        <v>2</v>
      </c>
      <c r="I950">
        <v>23300</v>
      </c>
      <c r="J950">
        <v>46600</v>
      </c>
      <c r="K950" t="s">
        <v>46</v>
      </c>
      <c r="L950" t="s">
        <v>47</v>
      </c>
      <c r="M950" t="b">
        <v>0</v>
      </c>
      <c r="N950" t="s">
        <v>23</v>
      </c>
    </row>
    <row r="951" spans="1:14" x14ac:dyDescent="0.35">
      <c r="A951" t="s">
        <v>1193</v>
      </c>
      <c r="B951" t="s">
        <v>329</v>
      </c>
      <c r="C951" t="s">
        <v>50</v>
      </c>
      <c r="D951" t="s">
        <v>51</v>
      </c>
      <c r="E951" t="s">
        <v>97</v>
      </c>
      <c r="F951" t="s">
        <v>29</v>
      </c>
      <c r="G951" t="s">
        <v>30</v>
      </c>
      <c r="H951">
        <v>2</v>
      </c>
      <c r="I951">
        <v>33400</v>
      </c>
      <c r="J951">
        <v>66800</v>
      </c>
      <c r="K951" t="s">
        <v>54</v>
      </c>
      <c r="L951" t="s">
        <v>39</v>
      </c>
      <c r="M951" t="b">
        <v>0</v>
      </c>
      <c r="N951" t="s">
        <v>33</v>
      </c>
    </row>
    <row r="952" spans="1:14" x14ac:dyDescent="0.35">
      <c r="A952" t="s">
        <v>1194</v>
      </c>
      <c r="B952" t="s">
        <v>694</v>
      </c>
      <c r="C952" t="s">
        <v>42</v>
      </c>
      <c r="D952" t="s">
        <v>43</v>
      </c>
      <c r="E952" t="s">
        <v>74</v>
      </c>
      <c r="F952" t="s">
        <v>75</v>
      </c>
      <c r="G952" t="s">
        <v>30</v>
      </c>
      <c r="H952">
        <v>1</v>
      </c>
      <c r="I952">
        <v>4200</v>
      </c>
      <c r="J952">
        <v>4200</v>
      </c>
      <c r="K952" t="s">
        <v>54</v>
      </c>
      <c r="L952" t="s">
        <v>39</v>
      </c>
      <c r="M952" t="b">
        <v>0</v>
      </c>
      <c r="N952" t="s">
        <v>23</v>
      </c>
    </row>
    <row r="953" spans="1:14" x14ac:dyDescent="0.35">
      <c r="A953" t="s">
        <v>1195</v>
      </c>
      <c r="B953" t="s">
        <v>156</v>
      </c>
      <c r="C953" t="s">
        <v>73</v>
      </c>
      <c r="D953" t="s">
        <v>43</v>
      </c>
      <c r="E953" t="s">
        <v>74</v>
      </c>
      <c r="F953" t="s">
        <v>75</v>
      </c>
      <c r="G953" t="s">
        <v>30</v>
      </c>
      <c r="H953">
        <v>1</v>
      </c>
      <c r="I953">
        <v>4700</v>
      </c>
      <c r="J953">
        <v>4700</v>
      </c>
      <c r="K953" t="s">
        <v>21</v>
      </c>
      <c r="L953" t="s">
        <v>55</v>
      </c>
      <c r="M953" t="b">
        <v>0</v>
      </c>
      <c r="N953" t="s">
        <v>23</v>
      </c>
    </row>
    <row r="954" spans="1:14" x14ac:dyDescent="0.35">
      <c r="A954" t="s">
        <v>1196</v>
      </c>
      <c r="B954" t="s">
        <v>49</v>
      </c>
      <c r="C954" t="s">
        <v>58</v>
      </c>
      <c r="D954" t="s">
        <v>59</v>
      </c>
      <c r="E954" t="s">
        <v>94</v>
      </c>
      <c r="F954" t="s">
        <v>37</v>
      </c>
      <c r="G954" t="s">
        <v>20</v>
      </c>
      <c r="H954">
        <v>1</v>
      </c>
      <c r="I954">
        <v>19700</v>
      </c>
      <c r="J954">
        <v>19700</v>
      </c>
      <c r="K954" t="s">
        <v>54</v>
      </c>
      <c r="L954" t="s">
        <v>55</v>
      </c>
      <c r="M954" t="b">
        <v>0</v>
      </c>
      <c r="N954" t="s">
        <v>23</v>
      </c>
    </row>
    <row r="955" spans="1:14" x14ac:dyDescent="0.35">
      <c r="A955" t="s">
        <v>1197</v>
      </c>
      <c r="B955" t="s">
        <v>470</v>
      </c>
      <c r="C955" t="s">
        <v>65</v>
      </c>
      <c r="D955" t="s">
        <v>27</v>
      </c>
      <c r="E955" t="s">
        <v>74</v>
      </c>
      <c r="F955" t="s">
        <v>75</v>
      </c>
      <c r="G955" t="s">
        <v>30</v>
      </c>
      <c r="H955">
        <v>2</v>
      </c>
      <c r="I955">
        <v>4200</v>
      </c>
      <c r="J955">
        <v>8400</v>
      </c>
      <c r="K955" t="s">
        <v>31</v>
      </c>
      <c r="L955" t="s">
        <v>55</v>
      </c>
      <c r="M955" t="b">
        <v>0</v>
      </c>
      <c r="N955" t="s">
        <v>23</v>
      </c>
    </row>
    <row r="956" spans="1:14" x14ac:dyDescent="0.35">
      <c r="A956" t="s">
        <v>1198</v>
      </c>
      <c r="B956" t="s">
        <v>35</v>
      </c>
      <c r="C956" t="s">
        <v>58</v>
      </c>
      <c r="D956" t="s">
        <v>59</v>
      </c>
      <c r="E956" t="s">
        <v>102</v>
      </c>
      <c r="F956" t="s">
        <v>29</v>
      </c>
      <c r="G956" t="s">
        <v>20</v>
      </c>
      <c r="H956">
        <v>2</v>
      </c>
      <c r="I956">
        <v>27400</v>
      </c>
      <c r="J956">
        <v>54800</v>
      </c>
      <c r="K956" t="s">
        <v>38</v>
      </c>
      <c r="L956" t="s">
        <v>39</v>
      </c>
      <c r="M956" t="b">
        <v>0</v>
      </c>
      <c r="N956" t="s">
        <v>23</v>
      </c>
    </row>
    <row r="957" spans="1:14" x14ac:dyDescent="0.35">
      <c r="A957" t="s">
        <v>1199</v>
      </c>
      <c r="B957" t="s">
        <v>714</v>
      </c>
      <c r="C957" t="s">
        <v>58</v>
      </c>
      <c r="D957" t="s">
        <v>59</v>
      </c>
      <c r="E957" t="s">
        <v>18</v>
      </c>
      <c r="F957" t="s">
        <v>19</v>
      </c>
      <c r="G957" t="s">
        <v>30</v>
      </c>
      <c r="H957">
        <v>1</v>
      </c>
      <c r="I957">
        <v>21300</v>
      </c>
      <c r="J957">
        <v>21300</v>
      </c>
      <c r="K957" t="s">
        <v>46</v>
      </c>
      <c r="L957" t="s">
        <v>55</v>
      </c>
      <c r="M957" t="b">
        <v>0</v>
      </c>
      <c r="N957" t="s">
        <v>23</v>
      </c>
    </row>
    <row r="958" spans="1:14" x14ac:dyDescent="0.35">
      <c r="A958" t="s">
        <v>1200</v>
      </c>
      <c r="B958" t="s">
        <v>167</v>
      </c>
      <c r="C958" t="s">
        <v>42</v>
      </c>
      <c r="D958" t="s">
        <v>43</v>
      </c>
      <c r="E958" t="s">
        <v>18</v>
      </c>
      <c r="F958" t="s">
        <v>19</v>
      </c>
      <c r="G958" t="s">
        <v>30</v>
      </c>
      <c r="H958">
        <v>1</v>
      </c>
      <c r="I958">
        <v>23700</v>
      </c>
      <c r="J958">
        <v>23700</v>
      </c>
      <c r="K958" t="s">
        <v>31</v>
      </c>
      <c r="L958" t="s">
        <v>109</v>
      </c>
      <c r="M958" t="b">
        <v>1</v>
      </c>
      <c r="N958" t="s">
        <v>23</v>
      </c>
    </row>
    <row r="959" spans="1:14" x14ac:dyDescent="0.35">
      <c r="A959" t="s">
        <v>1201</v>
      </c>
      <c r="B959" t="s">
        <v>540</v>
      </c>
      <c r="C959" t="s">
        <v>16</v>
      </c>
      <c r="D959" t="s">
        <v>17</v>
      </c>
      <c r="E959" t="s">
        <v>97</v>
      </c>
      <c r="F959" t="s">
        <v>29</v>
      </c>
      <c r="G959" t="s">
        <v>30</v>
      </c>
      <c r="H959">
        <v>2</v>
      </c>
      <c r="I959">
        <v>30000</v>
      </c>
      <c r="J959">
        <v>60000</v>
      </c>
      <c r="K959" t="s">
        <v>46</v>
      </c>
      <c r="L959" t="s">
        <v>22</v>
      </c>
      <c r="M959" t="b">
        <v>0</v>
      </c>
      <c r="N959" t="s">
        <v>33</v>
      </c>
    </row>
    <row r="960" spans="1:14" x14ac:dyDescent="0.35">
      <c r="A960" t="s">
        <v>1202</v>
      </c>
      <c r="B960" t="s">
        <v>427</v>
      </c>
      <c r="C960" t="s">
        <v>67</v>
      </c>
      <c r="D960" t="s">
        <v>59</v>
      </c>
      <c r="E960" t="s">
        <v>60</v>
      </c>
      <c r="F960" t="s">
        <v>53</v>
      </c>
      <c r="G960" t="s">
        <v>20</v>
      </c>
      <c r="H960">
        <v>1</v>
      </c>
      <c r="I960">
        <v>6600</v>
      </c>
      <c r="J960">
        <v>6600</v>
      </c>
      <c r="K960" t="s">
        <v>70</v>
      </c>
      <c r="L960" t="s">
        <v>88</v>
      </c>
      <c r="M960" t="b">
        <v>0</v>
      </c>
      <c r="N960" t="s">
        <v>23</v>
      </c>
    </row>
    <row r="961" spans="1:14" x14ac:dyDescent="0.35">
      <c r="A961" t="s">
        <v>1203</v>
      </c>
      <c r="B961" t="s">
        <v>574</v>
      </c>
      <c r="C961" t="s">
        <v>73</v>
      </c>
      <c r="D961" t="s">
        <v>43</v>
      </c>
      <c r="E961" t="s">
        <v>18</v>
      </c>
      <c r="F961" t="s">
        <v>19</v>
      </c>
      <c r="G961" t="s">
        <v>30</v>
      </c>
      <c r="H961">
        <v>1</v>
      </c>
      <c r="I961">
        <v>23100</v>
      </c>
      <c r="J961">
        <v>23100</v>
      </c>
      <c r="K961" t="s">
        <v>54</v>
      </c>
      <c r="L961" t="s">
        <v>55</v>
      </c>
      <c r="M961" t="b">
        <v>0</v>
      </c>
      <c r="N961" t="s">
        <v>23</v>
      </c>
    </row>
    <row r="962" spans="1:14" x14ac:dyDescent="0.35">
      <c r="A962" t="s">
        <v>1204</v>
      </c>
      <c r="B962" t="s">
        <v>178</v>
      </c>
      <c r="C962" t="s">
        <v>73</v>
      </c>
      <c r="D962" t="s">
        <v>43</v>
      </c>
      <c r="E962" t="s">
        <v>94</v>
      </c>
      <c r="F962" t="s">
        <v>37</v>
      </c>
      <c r="G962" t="s">
        <v>20</v>
      </c>
      <c r="H962">
        <v>2</v>
      </c>
      <c r="I962">
        <v>19200</v>
      </c>
      <c r="J962">
        <v>38400</v>
      </c>
      <c r="K962" t="s">
        <v>38</v>
      </c>
      <c r="L962" t="s">
        <v>47</v>
      </c>
      <c r="M962" t="b">
        <v>0</v>
      </c>
      <c r="N962" t="s">
        <v>23</v>
      </c>
    </row>
    <row r="963" spans="1:14" x14ac:dyDescent="0.35">
      <c r="A963" t="s">
        <v>1205</v>
      </c>
      <c r="B963" t="s">
        <v>222</v>
      </c>
      <c r="C963" t="s">
        <v>50</v>
      </c>
      <c r="D963" t="s">
        <v>51</v>
      </c>
      <c r="E963" t="s">
        <v>28</v>
      </c>
      <c r="F963" t="s">
        <v>29</v>
      </c>
      <c r="G963" t="s">
        <v>30</v>
      </c>
      <c r="H963">
        <v>3</v>
      </c>
      <c r="I963">
        <v>122100</v>
      </c>
      <c r="J963">
        <v>366300</v>
      </c>
      <c r="K963" t="s">
        <v>31</v>
      </c>
      <c r="L963" t="s">
        <v>109</v>
      </c>
      <c r="M963" t="b">
        <v>1</v>
      </c>
      <c r="N963" t="s">
        <v>33</v>
      </c>
    </row>
    <row r="964" spans="1:14" x14ac:dyDescent="0.35">
      <c r="A964" t="s">
        <v>1206</v>
      </c>
      <c r="B964" t="s">
        <v>220</v>
      </c>
      <c r="C964" t="s">
        <v>16</v>
      </c>
      <c r="D964" t="s">
        <v>17</v>
      </c>
      <c r="E964" t="s">
        <v>28</v>
      </c>
      <c r="F964" t="s">
        <v>29</v>
      </c>
      <c r="G964" t="s">
        <v>20</v>
      </c>
      <c r="H964">
        <v>2</v>
      </c>
      <c r="I964">
        <v>120900</v>
      </c>
      <c r="J964">
        <v>241800</v>
      </c>
      <c r="K964" t="s">
        <v>70</v>
      </c>
      <c r="L964" t="s">
        <v>109</v>
      </c>
      <c r="M964" t="b">
        <v>1</v>
      </c>
      <c r="N964" t="s">
        <v>33</v>
      </c>
    </row>
    <row r="965" spans="1:14" x14ac:dyDescent="0.35">
      <c r="A965" t="s">
        <v>1207</v>
      </c>
      <c r="B965" t="s">
        <v>172</v>
      </c>
      <c r="C965" t="s">
        <v>67</v>
      </c>
      <c r="D965" t="s">
        <v>59</v>
      </c>
      <c r="E965" t="s">
        <v>52</v>
      </c>
      <c r="F965" t="s">
        <v>53</v>
      </c>
      <c r="G965" t="s">
        <v>30</v>
      </c>
      <c r="H965">
        <v>1</v>
      </c>
      <c r="I965">
        <v>7800</v>
      </c>
      <c r="J965">
        <v>7800</v>
      </c>
      <c r="K965" t="s">
        <v>54</v>
      </c>
      <c r="L965" t="s">
        <v>88</v>
      </c>
      <c r="M965" t="b">
        <v>0</v>
      </c>
      <c r="N965" t="s">
        <v>23</v>
      </c>
    </row>
    <row r="966" spans="1:14" x14ac:dyDescent="0.35">
      <c r="A966" t="s">
        <v>1208</v>
      </c>
      <c r="B966" t="s">
        <v>456</v>
      </c>
      <c r="C966" t="s">
        <v>26</v>
      </c>
      <c r="D966" t="s">
        <v>27</v>
      </c>
      <c r="E966" t="s">
        <v>94</v>
      </c>
      <c r="F966" t="s">
        <v>37</v>
      </c>
      <c r="G966" t="s">
        <v>30</v>
      </c>
      <c r="H966">
        <v>1</v>
      </c>
      <c r="I966">
        <v>17700</v>
      </c>
      <c r="J966">
        <v>17700</v>
      </c>
      <c r="K966" t="s">
        <v>31</v>
      </c>
      <c r="L966" t="s">
        <v>47</v>
      </c>
      <c r="M966" t="b">
        <v>0</v>
      </c>
      <c r="N966" t="s">
        <v>23</v>
      </c>
    </row>
    <row r="967" spans="1:14" x14ac:dyDescent="0.35">
      <c r="A967" t="s">
        <v>1209</v>
      </c>
      <c r="B967" t="s">
        <v>787</v>
      </c>
      <c r="C967" t="s">
        <v>16</v>
      </c>
      <c r="D967" t="s">
        <v>17</v>
      </c>
      <c r="E967" t="s">
        <v>28</v>
      </c>
      <c r="F967" t="s">
        <v>29</v>
      </c>
      <c r="G967" t="s">
        <v>20</v>
      </c>
      <c r="H967">
        <v>1</v>
      </c>
      <c r="I967">
        <v>113600</v>
      </c>
      <c r="J967">
        <v>113600</v>
      </c>
      <c r="K967" t="s">
        <v>54</v>
      </c>
      <c r="L967" t="s">
        <v>32</v>
      </c>
      <c r="M967" t="b">
        <v>1</v>
      </c>
      <c r="N967" t="s">
        <v>33</v>
      </c>
    </row>
    <row r="968" spans="1:14" x14ac:dyDescent="0.35">
      <c r="A968" t="s">
        <v>1210</v>
      </c>
      <c r="B968" t="s">
        <v>354</v>
      </c>
      <c r="C968" t="s">
        <v>67</v>
      </c>
      <c r="D968" t="s">
        <v>59</v>
      </c>
      <c r="E968" t="s">
        <v>102</v>
      </c>
      <c r="F968" t="s">
        <v>29</v>
      </c>
      <c r="G968" t="s">
        <v>20</v>
      </c>
      <c r="H968">
        <v>2</v>
      </c>
      <c r="I968">
        <v>27900</v>
      </c>
      <c r="J968">
        <v>55800</v>
      </c>
      <c r="K968" t="s">
        <v>31</v>
      </c>
      <c r="L968" t="s">
        <v>109</v>
      </c>
      <c r="M968" t="b">
        <v>1</v>
      </c>
      <c r="N968" t="s">
        <v>23</v>
      </c>
    </row>
    <row r="969" spans="1:14" x14ac:dyDescent="0.35">
      <c r="A969" t="s">
        <v>1211</v>
      </c>
      <c r="B969" t="s">
        <v>340</v>
      </c>
      <c r="C969" t="s">
        <v>26</v>
      </c>
      <c r="D969" t="s">
        <v>27</v>
      </c>
      <c r="E969" t="s">
        <v>60</v>
      </c>
      <c r="F969" t="s">
        <v>53</v>
      </c>
      <c r="G969" t="s">
        <v>30</v>
      </c>
      <c r="H969">
        <v>1</v>
      </c>
      <c r="I969">
        <v>7200</v>
      </c>
      <c r="J969">
        <v>7200</v>
      </c>
      <c r="K969" t="s">
        <v>70</v>
      </c>
      <c r="L969" t="s">
        <v>55</v>
      </c>
      <c r="M969" t="b">
        <v>0</v>
      </c>
      <c r="N969" t="s">
        <v>23</v>
      </c>
    </row>
    <row r="970" spans="1:14" x14ac:dyDescent="0.35">
      <c r="A970" t="s">
        <v>1212</v>
      </c>
      <c r="B970" t="s">
        <v>477</v>
      </c>
      <c r="C970" t="s">
        <v>26</v>
      </c>
      <c r="D970" t="s">
        <v>27</v>
      </c>
      <c r="E970" t="s">
        <v>74</v>
      </c>
      <c r="F970" t="s">
        <v>75</v>
      </c>
      <c r="G970" t="s">
        <v>30</v>
      </c>
      <c r="H970">
        <v>1</v>
      </c>
      <c r="I970">
        <v>4700</v>
      </c>
      <c r="J970">
        <v>4700</v>
      </c>
      <c r="K970" t="s">
        <v>70</v>
      </c>
      <c r="L970" t="s">
        <v>109</v>
      </c>
      <c r="M970" t="b">
        <v>1</v>
      </c>
      <c r="N970" t="s">
        <v>23</v>
      </c>
    </row>
    <row r="971" spans="1:14" x14ac:dyDescent="0.35">
      <c r="A971" t="s">
        <v>1213</v>
      </c>
      <c r="B971" t="s">
        <v>154</v>
      </c>
      <c r="C971" t="s">
        <v>16</v>
      </c>
      <c r="D971" t="s">
        <v>17</v>
      </c>
      <c r="E971" t="s">
        <v>36</v>
      </c>
      <c r="F971" t="s">
        <v>37</v>
      </c>
      <c r="G971" t="s">
        <v>30</v>
      </c>
      <c r="H971">
        <v>4</v>
      </c>
      <c r="I971">
        <v>41800</v>
      </c>
      <c r="J971">
        <v>167200</v>
      </c>
      <c r="K971" t="s">
        <v>46</v>
      </c>
      <c r="L971" t="s">
        <v>88</v>
      </c>
      <c r="M971" t="b">
        <v>0</v>
      </c>
      <c r="N971" t="s">
        <v>33</v>
      </c>
    </row>
    <row r="972" spans="1:14" x14ac:dyDescent="0.35">
      <c r="A972" t="s">
        <v>1214</v>
      </c>
      <c r="B972" t="s">
        <v>131</v>
      </c>
      <c r="C972" t="s">
        <v>50</v>
      </c>
      <c r="D972" t="s">
        <v>51</v>
      </c>
      <c r="E972" t="s">
        <v>36</v>
      </c>
      <c r="F972" t="s">
        <v>37</v>
      </c>
      <c r="G972" t="s">
        <v>30</v>
      </c>
      <c r="H972">
        <v>1</v>
      </c>
      <c r="I972">
        <v>42700</v>
      </c>
      <c r="J972">
        <v>42700</v>
      </c>
      <c r="K972" t="s">
        <v>31</v>
      </c>
      <c r="L972" t="s">
        <v>32</v>
      </c>
      <c r="M972" t="b">
        <v>1</v>
      </c>
      <c r="N972" t="s">
        <v>33</v>
      </c>
    </row>
    <row r="973" spans="1:14" x14ac:dyDescent="0.35">
      <c r="A973" t="s">
        <v>1215</v>
      </c>
      <c r="B973" t="s">
        <v>96</v>
      </c>
      <c r="C973" t="s">
        <v>73</v>
      </c>
      <c r="D973" t="s">
        <v>43</v>
      </c>
      <c r="E973" t="s">
        <v>102</v>
      </c>
      <c r="F973" t="s">
        <v>29</v>
      </c>
      <c r="G973" t="s">
        <v>20</v>
      </c>
      <c r="H973">
        <v>3</v>
      </c>
      <c r="I973">
        <v>31800</v>
      </c>
      <c r="J973">
        <v>95400</v>
      </c>
      <c r="K973" t="s">
        <v>38</v>
      </c>
      <c r="L973" t="s">
        <v>88</v>
      </c>
      <c r="M973" t="b">
        <v>0</v>
      </c>
      <c r="N973" t="s">
        <v>33</v>
      </c>
    </row>
    <row r="974" spans="1:14" x14ac:dyDescent="0.35">
      <c r="A974" t="s">
        <v>1216</v>
      </c>
      <c r="B974" t="s">
        <v>178</v>
      </c>
      <c r="C974" t="s">
        <v>42</v>
      </c>
      <c r="D974" t="s">
        <v>43</v>
      </c>
      <c r="E974" t="s">
        <v>102</v>
      </c>
      <c r="F974" t="s">
        <v>29</v>
      </c>
      <c r="G974" t="s">
        <v>20</v>
      </c>
      <c r="H974">
        <v>1</v>
      </c>
      <c r="I974">
        <v>30400</v>
      </c>
      <c r="J974">
        <v>30400</v>
      </c>
      <c r="K974" t="s">
        <v>38</v>
      </c>
      <c r="L974" t="s">
        <v>47</v>
      </c>
      <c r="M974" t="b">
        <v>0</v>
      </c>
      <c r="N974" t="s">
        <v>33</v>
      </c>
    </row>
    <row r="975" spans="1:14" x14ac:dyDescent="0.35">
      <c r="A975" t="s">
        <v>1217</v>
      </c>
      <c r="B975" t="s">
        <v>1001</v>
      </c>
      <c r="C975" t="s">
        <v>26</v>
      </c>
      <c r="D975" t="s">
        <v>27</v>
      </c>
      <c r="E975" t="s">
        <v>36</v>
      </c>
      <c r="F975" t="s">
        <v>37</v>
      </c>
      <c r="G975" t="s">
        <v>30</v>
      </c>
      <c r="H975">
        <v>1</v>
      </c>
      <c r="I975">
        <v>39000</v>
      </c>
      <c r="J975">
        <v>39000</v>
      </c>
      <c r="K975" t="s">
        <v>70</v>
      </c>
      <c r="L975" t="s">
        <v>32</v>
      </c>
      <c r="M975" t="b">
        <v>1</v>
      </c>
      <c r="N975" t="s">
        <v>33</v>
      </c>
    </row>
    <row r="976" spans="1:14" x14ac:dyDescent="0.35">
      <c r="A976" t="s">
        <v>1218</v>
      </c>
      <c r="B976" t="s">
        <v>174</v>
      </c>
      <c r="C976" t="s">
        <v>16</v>
      </c>
      <c r="D976" t="s">
        <v>17</v>
      </c>
      <c r="E976" t="s">
        <v>28</v>
      </c>
      <c r="F976" t="s">
        <v>29</v>
      </c>
      <c r="G976" t="s">
        <v>20</v>
      </c>
      <c r="H976">
        <v>5</v>
      </c>
      <c r="I976">
        <v>115500</v>
      </c>
      <c r="J976">
        <v>577500</v>
      </c>
      <c r="K976" t="s">
        <v>31</v>
      </c>
      <c r="L976" t="s">
        <v>39</v>
      </c>
      <c r="M976" t="b">
        <v>0</v>
      </c>
      <c r="N976" t="s">
        <v>33</v>
      </c>
    </row>
    <row r="977" spans="1:14" x14ac:dyDescent="0.35">
      <c r="A977" t="s">
        <v>1219</v>
      </c>
      <c r="B977" t="s">
        <v>163</v>
      </c>
      <c r="C977" t="s">
        <v>58</v>
      </c>
      <c r="D977" t="s">
        <v>59</v>
      </c>
      <c r="E977" t="s">
        <v>60</v>
      </c>
      <c r="F977" t="s">
        <v>53</v>
      </c>
      <c r="G977" t="s">
        <v>20</v>
      </c>
      <c r="H977">
        <v>4</v>
      </c>
      <c r="I977">
        <v>7100</v>
      </c>
      <c r="J977">
        <v>28400</v>
      </c>
      <c r="K977" t="s">
        <v>31</v>
      </c>
      <c r="L977" t="s">
        <v>109</v>
      </c>
      <c r="M977" t="b">
        <v>1</v>
      </c>
      <c r="N977" t="s">
        <v>23</v>
      </c>
    </row>
    <row r="978" spans="1:14" x14ac:dyDescent="0.35">
      <c r="A978" t="s">
        <v>1220</v>
      </c>
      <c r="B978" t="s">
        <v>407</v>
      </c>
      <c r="C978" t="s">
        <v>26</v>
      </c>
      <c r="D978" t="s">
        <v>27</v>
      </c>
      <c r="E978" t="s">
        <v>44</v>
      </c>
      <c r="F978" t="s">
        <v>45</v>
      </c>
      <c r="G978" t="s">
        <v>30</v>
      </c>
      <c r="H978">
        <v>1</v>
      </c>
      <c r="I978">
        <v>28100</v>
      </c>
      <c r="J978">
        <v>28100</v>
      </c>
      <c r="K978" t="s">
        <v>21</v>
      </c>
      <c r="L978" t="s">
        <v>22</v>
      </c>
      <c r="M978" t="b">
        <v>0</v>
      </c>
      <c r="N978" t="s">
        <v>33</v>
      </c>
    </row>
    <row r="979" spans="1:14" x14ac:dyDescent="0.35">
      <c r="A979" t="s">
        <v>1221</v>
      </c>
      <c r="B979" t="s">
        <v>62</v>
      </c>
      <c r="C979" t="s">
        <v>16</v>
      </c>
      <c r="D979" t="s">
        <v>17</v>
      </c>
      <c r="E979" t="s">
        <v>18</v>
      </c>
      <c r="F979" t="s">
        <v>19</v>
      </c>
      <c r="G979" t="s">
        <v>20</v>
      </c>
      <c r="H979">
        <v>2</v>
      </c>
      <c r="I979">
        <v>22500</v>
      </c>
      <c r="J979">
        <v>45000</v>
      </c>
      <c r="K979" t="s">
        <v>31</v>
      </c>
      <c r="L979" t="s">
        <v>32</v>
      </c>
      <c r="M979" t="b">
        <v>1</v>
      </c>
      <c r="N979" t="s">
        <v>23</v>
      </c>
    </row>
    <row r="980" spans="1:14" x14ac:dyDescent="0.35">
      <c r="A980" t="s">
        <v>1222</v>
      </c>
      <c r="B980" t="s">
        <v>550</v>
      </c>
      <c r="C980" t="s">
        <v>67</v>
      </c>
      <c r="D980" t="s">
        <v>59</v>
      </c>
      <c r="E980" t="s">
        <v>36</v>
      </c>
      <c r="F980" t="s">
        <v>37</v>
      </c>
      <c r="G980" t="s">
        <v>20</v>
      </c>
      <c r="H980">
        <v>1</v>
      </c>
      <c r="I980">
        <v>42500</v>
      </c>
      <c r="J980">
        <v>42500</v>
      </c>
      <c r="K980" t="s">
        <v>46</v>
      </c>
      <c r="L980" t="s">
        <v>32</v>
      </c>
      <c r="M980" t="b">
        <v>1</v>
      </c>
      <c r="N980" t="s">
        <v>33</v>
      </c>
    </row>
    <row r="981" spans="1:14" x14ac:dyDescent="0.35">
      <c r="A981" t="s">
        <v>1223</v>
      </c>
      <c r="B981" t="s">
        <v>690</v>
      </c>
      <c r="C981" t="s">
        <v>73</v>
      </c>
      <c r="D981" t="s">
        <v>43</v>
      </c>
      <c r="E981" t="s">
        <v>94</v>
      </c>
      <c r="F981" t="s">
        <v>37</v>
      </c>
      <c r="G981" t="s">
        <v>20</v>
      </c>
      <c r="H981">
        <v>3</v>
      </c>
      <c r="I981">
        <v>19500</v>
      </c>
      <c r="J981">
        <v>58500</v>
      </c>
      <c r="K981" t="s">
        <v>54</v>
      </c>
      <c r="L981" t="s">
        <v>32</v>
      </c>
      <c r="M981" t="b">
        <v>1</v>
      </c>
      <c r="N981" t="s">
        <v>23</v>
      </c>
    </row>
    <row r="982" spans="1:14" x14ac:dyDescent="0.35">
      <c r="A982" t="s">
        <v>1224</v>
      </c>
      <c r="B982" t="s">
        <v>270</v>
      </c>
      <c r="C982" t="s">
        <v>67</v>
      </c>
      <c r="D982" t="s">
        <v>59</v>
      </c>
      <c r="E982" t="s">
        <v>36</v>
      </c>
      <c r="F982" t="s">
        <v>37</v>
      </c>
      <c r="G982" t="s">
        <v>20</v>
      </c>
      <c r="H982">
        <v>1</v>
      </c>
      <c r="I982">
        <v>44100</v>
      </c>
      <c r="J982">
        <v>44100</v>
      </c>
      <c r="K982" t="s">
        <v>54</v>
      </c>
      <c r="L982" t="s">
        <v>55</v>
      </c>
      <c r="M982" t="b">
        <v>0</v>
      </c>
      <c r="N982" t="s">
        <v>33</v>
      </c>
    </row>
    <row r="983" spans="1:14" x14ac:dyDescent="0.35">
      <c r="A983" t="s">
        <v>1225</v>
      </c>
      <c r="B983" t="s">
        <v>540</v>
      </c>
      <c r="C983" t="s">
        <v>16</v>
      </c>
      <c r="D983" t="s">
        <v>17</v>
      </c>
      <c r="E983" t="s">
        <v>44</v>
      </c>
      <c r="F983" t="s">
        <v>45</v>
      </c>
      <c r="G983" t="s">
        <v>20</v>
      </c>
      <c r="H983">
        <v>1</v>
      </c>
      <c r="I983">
        <v>25400</v>
      </c>
      <c r="J983">
        <v>25400</v>
      </c>
      <c r="K983" t="s">
        <v>46</v>
      </c>
      <c r="L983" t="s">
        <v>22</v>
      </c>
      <c r="M983" t="b">
        <v>0</v>
      </c>
      <c r="N983" t="s">
        <v>23</v>
      </c>
    </row>
    <row r="984" spans="1:14" x14ac:dyDescent="0.35">
      <c r="A984" t="s">
        <v>1226</v>
      </c>
      <c r="B984" t="s">
        <v>777</v>
      </c>
      <c r="C984" t="s">
        <v>65</v>
      </c>
      <c r="D984" t="s">
        <v>27</v>
      </c>
      <c r="E984" t="s">
        <v>120</v>
      </c>
      <c r="F984" t="s">
        <v>45</v>
      </c>
      <c r="G984" t="s">
        <v>30</v>
      </c>
      <c r="H984">
        <v>1</v>
      </c>
      <c r="I984">
        <v>54000</v>
      </c>
      <c r="J984">
        <v>54000</v>
      </c>
      <c r="K984" t="s">
        <v>46</v>
      </c>
      <c r="L984" t="s">
        <v>39</v>
      </c>
      <c r="M984" t="b">
        <v>0</v>
      </c>
      <c r="N984" t="s">
        <v>33</v>
      </c>
    </row>
    <row r="985" spans="1:14" x14ac:dyDescent="0.35">
      <c r="A985" t="s">
        <v>1227</v>
      </c>
      <c r="B985" t="s">
        <v>148</v>
      </c>
      <c r="C985" t="s">
        <v>42</v>
      </c>
      <c r="D985" t="s">
        <v>43</v>
      </c>
      <c r="E985" t="s">
        <v>120</v>
      </c>
      <c r="F985" t="s">
        <v>45</v>
      </c>
      <c r="G985" t="s">
        <v>30</v>
      </c>
      <c r="H985">
        <v>2</v>
      </c>
      <c r="I985">
        <v>51300</v>
      </c>
      <c r="J985">
        <v>102600</v>
      </c>
      <c r="K985" t="s">
        <v>31</v>
      </c>
      <c r="L985" t="s">
        <v>47</v>
      </c>
      <c r="M985" t="b">
        <v>0</v>
      </c>
      <c r="N985" t="s">
        <v>33</v>
      </c>
    </row>
    <row r="986" spans="1:14" x14ac:dyDescent="0.35">
      <c r="A986" t="s">
        <v>1228</v>
      </c>
      <c r="B986" t="s">
        <v>214</v>
      </c>
      <c r="C986" t="s">
        <v>42</v>
      </c>
      <c r="D986" t="s">
        <v>43</v>
      </c>
      <c r="E986" t="s">
        <v>28</v>
      </c>
      <c r="F986" t="s">
        <v>29</v>
      </c>
      <c r="G986" t="s">
        <v>20</v>
      </c>
      <c r="H986">
        <v>3</v>
      </c>
      <c r="I986">
        <v>106200</v>
      </c>
      <c r="J986">
        <v>318600</v>
      </c>
      <c r="K986" t="s">
        <v>31</v>
      </c>
      <c r="L986" t="s">
        <v>47</v>
      </c>
      <c r="M986" t="b">
        <v>0</v>
      </c>
      <c r="N986" t="s">
        <v>33</v>
      </c>
    </row>
    <row r="987" spans="1:14" x14ac:dyDescent="0.35">
      <c r="A987" t="s">
        <v>1229</v>
      </c>
      <c r="B987" t="s">
        <v>96</v>
      </c>
      <c r="C987" t="s">
        <v>16</v>
      </c>
      <c r="D987" t="s">
        <v>17</v>
      </c>
      <c r="E987" t="s">
        <v>74</v>
      </c>
      <c r="F987" t="s">
        <v>75</v>
      </c>
      <c r="G987" t="s">
        <v>20</v>
      </c>
      <c r="H987">
        <v>1</v>
      </c>
      <c r="I987">
        <v>4600</v>
      </c>
      <c r="J987">
        <v>4600</v>
      </c>
      <c r="K987" t="s">
        <v>38</v>
      </c>
      <c r="L987" t="s">
        <v>88</v>
      </c>
      <c r="M987" t="b">
        <v>0</v>
      </c>
      <c r="N987" t="s">
        <v>23</v>
      </c>
    </row>
    <row r="988" spans="1:14" x14ac:dyDescent="0.35">
      <c r="A988" t="s">
        <v>1230</v>
      </c>
      <c r="B988" t="s">
        <v>156</v>
      </c>
      <c r="C988" t="s">
        <v>73</v>
      </c>
      <c r="D988" t="s">
        <v>43</v>
      </c>
      <c r="E988" t="s">
        <v>18</v>
      </c>
      <c r="F988" t="s">
        <v>19</v>
      </c>
      <c r="G988" t="s">
        <v>30</v>
      </c>
      <c r="H988">
        <v>2</v>
      </c>
      <c r="I988">
        <v>21000</v>
      </c>
      <c r="J988">
        <v>42000</v>
      </c>
      <c r="K988" t="s">
        <v>21</v>
      </c>
      <c r="L988" t="s">
        <v>55</v>
      </c>
      <c r="M988" t="b">
        <v>0</v>
      </c>
      <c r="N988" t="s">
        <v>23</v>
      </c>
    </row>
    <row r="989" spans="1:14" x14ac:dyDescent="0.35">
      <c r="A989" t="s">
        <v>1231</v>
      </c>
      <c r="B989" t="s">
        <v>686</v>
      </c>
      <c r="C989" t="s">
        <v>50</v>
      </c>
      <c r="D989" t="s">
        <v>51</v>
      </c>
      <c r="E989" t="s">
        <v>80</v>
      </c>
      <c r="F989" t="s">
        <v>81</v>
      </c>
      <c r="G989" t="s">
        <v>20</v>
      </c>
      <c r="H989">
        <v>2</v>
      </c>
      <c r="I989">
        <v>12000</v>
      </c>
      <c r="J989">
        <v>24000</v>
      </c>
      <c r="K989" t="s">
        <v>38</v>
      </c>
      <c r="L989" t="s">
        <v>55</v>
      </c>
      <c r="M989" t="b">
        <v>0</v>
      </c>
      <c r="N989" t="s">
        <v>23</v>
      </c>
    </row>
    <row r="990" spans="1:14" x14ac:dyDescent="0.35">
      <c r="A990" t="s">
        <v>1232</v>
      </c>
      <c r="B990" t="s">
        <v>307</v>
      </c>
      <c r="C990" t="s">
        <v>16</v>
      </c>
      <c r="D990" t="s">
        <v>17</v>
      </c>
      <c r="E990" t="s">
        <v>102</v>
      </c>
      <c r="F990" t="s">
        <v>29</v>
      </c>
      <c r="G990" t="s">
        <v>20</v>
      </c>
      <c r="H990">
        <v>3</v>
      </c>
      <c r="I990">
        <v>29100</v>
      </c>
      <c r="J990">
        <v>87300</v>
      </c>
      <c r="K990" t="s">
        <v>31</v>
      </c>
      <c r="L990" t="s">
        <v>88</v>
      </c>
      <c r="M990" t="b">
        <v>0</v>
      </c>
      <c r="N990" t="s">
        <v>33</v>
      </c>
    </row>
    <row r="991" spans="1:14" x14ac:dyDescent="0.35">
      <c r="A991" t="s">
        <v>1233</v>
      </c>
      <c r="B991" t="s">
        <v>427</v>
      </c>
      <c r="C991" t="s">
        <v>26</v>
      </c>
      <c r="D991" t="s">
        <v>27</v>
      </c>
      <c r="E991" t="s">
        <v>74</v>
      </c>
      <c r="F991" t="s">
        <v>75</v>
      </c>
      <c r="G991" t="s">
        <v>30</v>
      </c>
      <c r="H991">
        <v>2</v>
      </c>
      <c r="I991">
        <v>4400</v>
      </c>
      <c r="J991">
        <v>8800</v>
      </c>
      <c r="K991" t="s">
        <v>70</v>
      </c>
      <c r="L991" t="s">
        <v>88</v>
      </c>
      <c r="M991" t="b">
        <v>0</v>
      </c>
      <c r="N991" t="s">
        <v>23</v>
      </c>
    </row>
    <row r="992" spans="1:14" x14ac:dyDescent="0.35">
      <c r="A992" t="s">
        <v>1234</v>
      </c>
      <c r="B992" t="s">
        <v>379</v>
      </c>
      <c r="C992" t="s">
        <v>50</v>
      </c>
      <c r="D992" t="s">
        <v>51</v>
      </c>
      <c r="E992" t="s">
        <v>94</v>
      </c>
      <c r="F992" t="s">
        <v>37</v>
      </c>
      <c r="G992" t="s">
        <v>20</v>
      </c>
      <c r="H992">
        <v>1</v>
      </c>
      <c r="I992">
        <v>17200</v>
      </c>
      <c r="J992">
        <v>17200</v>
      </c>
      <c r="K992" t="s">
        <v>38</v>
      </c>
      <c r="L992" t="s">
        <v>55</v>
      </c>
      <c r="M992" t="b">
        <v>0</v>
      </c>
      <c r="N992" t="s">
        <v>23</v>
      </c>
    </row>
    <row r="993" spans="1:14" x14ac:dyDescent="0.35">
      <c r="A993" t="s">
        <v>1235</v>
      </c>
      <c r="B993" t="s">
        <v>315</v>
      </c>
      <c r="C993" t="s">
        <v>16</v>
      </c>
      <c r="D993" t="s">
        <v>17</v>
      </c>
      <c r="E993" t="s">
        <v>74</v>
      </c>
      <c r="F993" t="s">
        <v>75</v>
      </c>
      <c r="G993" t="s">
        <v>30</v>
      </c>
      <c r="H993">
        <v>5</v>
      </c>
      <c r="I993">
        <v>4700</v>
      </c>
      <c r="J993">
        <v>23500</v>
      </c>
      <c r="K993" t="s">
        <v>54</v>
      </c>
      <c r="L993" t="s">
        <v>22</v>
      </c>
      <c r="M993" t="b">
        <v>0</v>
      </c>
      <c r="N993" t="s">
        <v>23</v>
      </c>
    </row>
    <row r="994" spans="1:14" x14ac:dyDescent="0.35">
      <c r="A994" t="s">
        <v>1236</v>
      </c>
      <c r="B994" t="s">
        <v>272</v>
      </c>
      <c r="C994" t="s">
        <v>26</v>
      </c>
      <c r="D994" t="s">
        <v>27</v>
      </c>
      <c r="E994" t="s">
        <v>44</v>
      </c>
      <c r="F994" t="s">
        <v>45</v>
      </c>
      <c r="G994" t="s">
        <v>20</v>
      </c>
      <c r="H994">
        <v>3</v>
      </c>
      <c r="I994">
        <v>29000</v>
      </c>
      <c r="J994">
        <v>87000</v>
      </c>
      <c r="K994" t="s">
        <v>21</v>
      </c>
      <c r="L994" t="s">
        <v>109</v>
      </c>
      <c r="M994" t="b">
        <v>1</v>
      </c>
      <c r="N994" t="s">
        <v>33</v>
      </c>
    </row>
    <row r="995" spans="1:14" x14ac:dyDescent="0.35">
      <c r="A995" t="s">
        <v>1237</v>
      </c>
      <c r="B995" t="s">
        <v>375</v>
      </c>
      <c r="C995" t="s">
        <v>58</v>
      </c>
      <c r="D995" t="s">
        <v>59</v>
      </c>
      <c r="E995" t="s">
        <v>120</v>
      </c>
      <c r="F995" t="s">
        <v>45</v>
      </c>
      <c r="G995" t="s">
        <v>20</v>
      </c>
      <c r="H995">
        <v>3</v>
      </c>
      <c r="I995">
        <v>55200</v>
      </c>
      <c r="J995">
        <v>165600</v>
      </c>
      <c r="K995" t="s">
        <v>38</v>
      </c>
      <c r="L995" t="s">
        <v>55</v>
      </c>
      <c r="M995" t="b">
        <v>0</v>
      </c>
      <c r="N995" t="s">
        <v>33</v>
      </c>
    </row>
    <row r="996" spans="1:14" x14ac:dyDescent="0.35">
      <c r="A996" t="s">
        <v>1238</v>
      </c>
      <c r="B996" t="s">
        <v>264</v>
      </c>
      <c r="C996" t="s">
        <v>67</v>
      </c>
      <c r="D996" t="s">
        <v>59</v>
      </c>
      <c r="E996" t="s">
        <v>28</v>
      </c>
      <c r="F996" t="s">
        <v>29</v>
      </c>
      <c r="G996" t="s">
        <v>30</v>
      </c>
      <c r="H996">
        <v>2</v>
      </c>
      <c r="I996">
        <v>120300</v>
      </c>
      <c r="J996">
        <v>240600</v>
      </c>
      <c r="K996" t="s">
        <v>54</v>
      </c>
      <c r="L996" t="s">
        <v>32</v>
      </c>
      <c r="M996" t="b">
        <v>1</v>
      </c>
      <c r="N996" t="s">
        <v>33</v>
      </c>
    </row>
    <row r="997" spans="1:14" x14ac:dyDescent="0.35">
      <c r="A997" t="s">
        <v>1239</v>
      </c>
      <c r="B997" t="s">
        <v>320</v>
      </c>
      <c r="C997" t="s">
        <v>42</v>
      </c>
      <c r="D997" t="s">
        <v>43</v>
      </c>
      <c r="E997" t="s">
        <v>52</v>
      </c>
      <c r="F997" t="s">
        <v>53</v>
      </c>
      <c r="G997" t="s">
        <v>30</v>
      </c>
      <c r="H997">
        <v>1</v>
      </c>
      <c r="I997">
        <v>8400</v>
      </c>
      <c r="J997">
        <v>8400</v>
      </c>
      <c r="K997" t="s">
        <v>46</v>
      </c>
      <c r="L997" t="s">
        <v>47</v>
      </c>
      <c r="M997" t="b">
        <v>0</v>
      </c>
      <c r="N997" t="s">
        <v>23</v>
      </c>
    </row>
    <row r="998" spans="1:14" x14ac:dyDescent="0.35">
      <c r="A998" t="s">
        <v>1240</v>
      </c>
      <c r="B998" t="s">
        <v>159</v>
      </c>
      <c r="C998" t="s">
        <v>65</v>
      </c>
      <c r="D998" t="s">
        <v>27</v>
      </c>
      <c r="E998" t="s">
        <v>52</v>
      </c>
      <c r="F998" t="s">
        <v>53</v>
      </c>
      <c r="G998" t="s">
        <v>30</v>
      </c>
      <c r="H998">
        <v>2</v>
      </c>
      <c r="I998">
        <v>8100</v>
      </c>
      <c r="J998">
        <v>16200</v>
      </c>
      <c r="K998" t="s">
        <v>38</v>
      </c>
      <c r="L998" t="s">
        <v>32</v>
      </c>
      <c r="M998" t="b">
        <v>1</v>
      </c>
      <c r="N998" t="s">
        <v>23</v>
      </c>
    </row>
    <row r="999" spans="1:14" x14ac:dyDescent="0.35">
      <c r="A999" t="s">
        <v>1241</v>
      </c>
      <c r="B999" t="s">
        <v>154</v>
      </c>
      <c r="C999" t="s">
        <v>26</v>
      </c>
      <c r="D999" t="s">
        <v>27</v>
      </c>
      <c r="E999" t="s">
        <v>94</v>
      </c>
      <c r="F999" t="s">
        <v>37</v>
      </c>
      <c r="G999" t="s">
        <v>20</v>
      </c>
      <c r="H999">
        <v>1</v>
      </c>
      <c r="I999">
        <v>19400</v>
      </c>
      <c r="J999">
        <v>19400</v>
      </c>
      <c r="K999" t="s">
        <v>46</v>
      </c>
      <c r="L999" t="s">
        <v>88</v>
      </c>
      <c r="M999" t="b">
        <v>0</v>
      </c>
      <c r="N999" t="s">
        <v>23</v>
      </c>
    </row>
    <row r="1000" spans="1:14" x14ac:dyDescent="0.35">
      <c r="A1000" t="s">
        <v>1242</v>
      </c>
      <c r="B1000" t="s">
        <v>572</v>
      </c>
      <c r="C1000" t="s">
        <v>65</v>
      </c>
      <c r="D1000" t="s">
        <v>27</v>
      </c>
      <c r="E1000" t="s">
        <v>52</v>
      </c>
      <c r="F1000" t="s">
        <v>53</v>
      </c>
      <c r="G1000" t="s">
        <v>30</v>
      </c>
      <c r="H1000">
        <v>1</v>
      </c>
      <c r="I1000">
        <v>8600</v>
      </c>
      <c r="J1000">
        <v>8600</v>
      </c>
      <c r="K1000" t="s">
        <v>21</v>
      </c>
      <c r="L1000" t="s">
        <v>32</v>
      </c>
      <c r="M1000" t="b">
        <v>1</v>
      </c>
      <c r="N1000" t="s">
        <v>23</v>
      </c>
    </row>
    <row r="1001" spans="1:14" x14ac:dyDescent="0.35">
      <c r="A1001" t="s">
        <v>1243</v>
      </c>
      <c r="B1001" t="s">
        <v>364</v>
      </c>
      <c r="C1001" t="s">
        <v>65</v>
      </c>
      <c r="D1001" t="s">
        <v>27</v>
      </c>
      <c r="E1001" t="s">
        <v>94</v>
      </c>
      <c r="F1001" t="s">
        <v>37</v>
      </c>
      <c r="G1001" t="s">
        <v>30</v>
      </c>
      <c r="H1001">
        <v>1</v>
      </c>
      <c r="I1001">
        <v>19600</v>
      </c>
      <c r="J1001">
        <v>19600</v>
      </c>
      <c r="K1001" t="s">
        <v>21</v>
      </c>
      <c r="L1001" t="s">
        <v>88</v>
      </c>
      <c r="M1001" t="b">
        <v>0</v>
      </c>
      <c r="N1001" t="s">
        <v>23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" x14ac:dyDescent="0.35">
      <c r="A1" s="1" t="s">
        <v>2</v>
      </c>
      <c r="B1" s="1" t="s">
        <v>3</v>
      </c>
    </row>
    <row r="2" spans="1:2" x14ac:dyDescent="0.35">
      <c r="A2" t="s">
        <v>67</v>
      </c>
      <c r="B2" t="s">
        <v>59</v>
      </c>
    </row>
    <row r="3" spans="1:2" x14ac:dyDescent="0.35">
      <c r="A3" t="s">
        <v>50</v>
      </c>
      <c r="B3" t="s">
        <v>51</v>
      </c>
    </row>
    <row r="4" spans="1:2" x14ac:dyDescent="0.35">
      <c r="A4" t="s">
        <v>16</v>
      </c>
      <c r="B4" t="s">
        <v>17</v>
      </c>
    </row>
    <row r="5" spans="1:2" x14ac:dyDescent="0.35">
      <c r="A5" t="s">
        <v>26</v>
      </c>
      <c r="B5" t="s">
        <v>27</v>
      </c>
    </row>
    <row r="6" spans="1:2" x14ac:dyDescent="0.35">
      <c r="A6" t="s">
        <v>58</v>
      </c>
      <c r="B6" t="s">
        <v>59</v>
      </c>
    </row>
    <row r="7" spans="1:2" x14ac:dyDescent="0.35">
      <c r="A7" t="s">
        <v>73</v>
      </c>
      <c r="B7" t="s">
        <v>43</v>
      </c>
    </row>
    <row r="8" spans="1:2" x14ac:dyDescent="0.35">
      <c r="A8" t="s">
        <v>42</v>
      </c>
      <c r="B8" t="s">
        <v>43</v>
      </c>
    </row>
    <row r="9" spans="1:2" x14ac:dyDescent="0.35">
      <c r="A9" t="s">
        <v>65</v>
      </c>
      <c r="B9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4" x14ac:dyDescent="0.35">
      <c r="A1" s="1" t="s">
        <v>2</v>
      </c>
      <c r="B1" s="1" t="s">
        <v>1244</v>
      </c>
      <c r="C1" s="1" t="s">
        <v>3</v>
      </c>
      <c r="D1" s="1" t="s">
        <v>1245</v>
      </c>
    </row>
    <row r="2" spans="1:4" x14ac:dyDescent="0.35">
      <c r="A2" t="s">
        <v>16</v>
      </c>
      <c r="B2">
        <f>SUMIFS(Orders!$J:$J,Orders!$C:$C,A2)</f>
        <v>8180000</v>
      </c>
      <c r="C2" t="str">
        <f ca="1">IFERROR(_xludf.XLOOKUP(A2,'Region Lookup'!$A$2:$A$9,'Region Lookup'!$B$2:$B$9,"Not found"),VLOOKUP(A2,'Region Lookup'!$A$2:$B$9,2,FALSE))</f>
        <v>Coast</v>
      </c>
      <c r="D2">
        <f>COUNTIF(Orders!$C:$C,A2)</f>
        <v>132</v>
      </c>
    </row>
    <row r="3" spans="1:4" x14ac:dyDescent="0.35">
      <c r="A3" t="s">
        <v>58</v>
      </c>
      <c r="B3">
        <f>SUMIFS(Orders!$J:$J,Orders!$C:$C,A3)</f>
        <v>6860500</v>
      </c>
      <c r="C3" t="str">
        <f ca="1">IFERROR(_xludf.XLOOKUP(A3,'Region Lookup'!$A$2:$A$9,'Region Lookup'!$B$2:$B$9,"Not found"),VLOOKUP(A3,'Region Lookup'!$A$2:$B$9,2,FALSE))</f>
        <v>Rift Valley</v>
      </c>
      <c r="D3">
        <f>COUNTIF(Orders!$C:$C,A3)</f>
        <v>127</v>
      </c>
    </row>
    <row r="4" spans="1:4" x14ac:dyDescent="0.35">
      <c r="A4" t="s">
        <v>26</v>
      </c>
      <c r="B4">
        <f>SUMIFS(Orders!$J:$J,Orders!$C:$C,A4)</f>
        <v>6775000</v>
      </c>
      <c r="C4" t="str">
        <f ca="1">IFERROR(_xludf.XLOOKUP(A4,'Region Lookup'!$A$2:$A$9,'Region Lookup'!$B$2:$B$9,"Not found"),VLOOKUP(A4,'Region Lookup'!$A$2:$B$9,2,FALSE))</f>
        <v>Capital</v>
      </c>
      <c r="D4">
        <f>COUNTIF(Orders!$C:$C,A4)</f>
        <v>121</v>
      </c>
    </row>
    <row r="5" spans="1:4" x14ac:dyDescent="0.35">
      <c r="A5" t="s">
        <v>50</v>
      </c>
      <c r="B5">
        <f>SUMIFS(Orders!$J:$J,Orders!$C:$C,A5)</f>
        <v>6671800</v>
      </c>
      <c r="C5" t="str">
        <f ca="1">IFERROR(_xludf.XLOOKUP(A5,'Region Lookup'!$A$2:$A$9,'Region Lookup'!$B$2:$B$9,"Not found"),VLOOKUP(A5,'Region Lookup'!$A$2:$B$9,2,FALSE))</f>
        <v>Western</v>
      </c>
      <c r="D5">
        <f>COUNTIF(Orders!$C:$C,A5)</f>
        <v>120</v>
      </c>
    </row>
    <row r="6" spans="1:4" x14ac:dyDescent="0.35">
      <c r="A6" t="s">
        <v>65</v>
      </c>
      <c r="B6">
        <f>SUMIFS(Orders!$J:$J,Orders!$C:$C,A6)</f>
        <v>6605900</v>
      </c>
      <c r="C6" t="str">
        <f ca="1">IFERROR(_xludf.XLOOKUP(A6,'Region Lookup'!$A$2:$A$9,'Region Lookup'!$B$2:$B$9,"Not found"),VLOOKUP(A6,'Region Lookup'!$A$2:$B$9,2,FALSE))</f>
        <v>Capital</v>
      </c>
      <c r="D6">
        <f>COUNTIF(Orders!$C:$C,A6)</f>
        <v>118</v>
      </c>
    </row>
    <row r="7" spans="1:4" x14ac:dyDescent="0.35">
      <c r="A7" t="s">
        <v>73</v>
      </c>
      <c r="B7">
        <f>SUMIFS(Orders!$J:$J,Orders!$C:$C,A7)</f>
        <v>6558700</v>
      </c>
      <c r="C7" t="str">
        <f ca="1">IFERROR(_xludf.XLOOKUP(A7,'Region Lookup'!$A$2:$A$9,'Region Lookup'!$B$2:$B$9,"Not found"),VLOOKUP(A7,'Region Lookup'!$A$2:$B$9,2,FALSE))</f>
        <v>Central</v>
      </c>
      <c r="D7">
        <f>COUNTIF(Orders!$C:$C,A7)</f>
        <v>136</v>
      </c>
    </row>
    <row r="8" spans="1:4" x14ac:dyDescent="0.35">
      <c r="A8" t="s">
        <v>67</v>
      </c>
      <c r="B8">
        <f>SUMIFS(Orders!$J:$J,Orders!$C:$C,A8)</f>
        <v>5885500</v>
      </c>
      <c r="C8" t="str">
        <f ca="1">IFERROR(_xludf.XLOOKUP(A8,'Region Lookup'!$A$2:$A$9,'Region Lookup'!$B$2:$B$9,"Not found"),VLOOKUP(A8,'Region Lookup'!$A$2:$B$9,2,FALSE))</f>
        <v>Rift Valley</v>
      </c>
      <c r="D8">
        <f>COUNTIF(Orders!$C:$C,A8)</f>
        <v>137</v>
      </c>
    </row>
    <row r="9" spans="1:4" x14ac:dyDescent="0.35">
      <c r="A9" t="s">
        <v>42</v>
      </c>
      <c r="B9">
        <f>SUMIFS(Orders!$J:$J,Orders!$C:$C,A9)</f>
        <v>4926700</v>
      </c>
      <c r="C9" t="str">
        <f ca="1">IFERROR(_xludf.XLOOKUP(A9,'Region Lookup'!$A$2:$A$9,'Region Lookup'!$B$2:$B$9,"Not found"),VLOOKUP(A9,'Region Lookup'!$A$2:$B$9,2,FALSE))</f>
        <v>Central</v>
      </c>
      <c r="D9">
        <f>COUNTIF(Orders!$C:$C,A9)</f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7265625" bestFit="1" customWidth="1"/>
    <col min="2" max="4" width="12.453125" bestFit="1" customWidth="1"/>
  </cols>
  <sheetData>
    <row r="1" spans="1:4" x14ac:dyDescent="0.35">
      <c r="A1" s="1" t="s">
        <v>1246</v>
      </c>
    </row>
    <row r="2" spans="1:4" x14ac:dyDescent="0.35">
      <c r="A2" t="s">
        <v>1247</v>
      </c>
    </row>
    <row r="4" spans="1:4" x14ac:dyDescent="0.35">
      <c r="A4" s="2" t="s">
        <v>1249</v>
      </c>
      <c r="B4" s="2" t="s">
        <v>6</v>
      </c>
    </row>
    <row r="5" spans="1:4" x14ac:dyDescent="0.35">
      <c r="A5" s="2" t="s">
        <v>2</v>
      </c>
      <c r="B5" t="s">
        <v>30</v>
      </c>
      <c r="C5" t="s">
        <v>20</v>
      </c>
      <c r="D5" t="s">
        <v>1248</v>
      </c>
    </row>
    <row r="6" spans="1:4" x14ac:dyDescent="0.35">
      <c r="A6" t="s">
        <v>67</v>
      </c>
      <c r="B6" s="3">
        <v>3979000</v>
      </c>
      <c r="C6" s="3">
        <v>1906500</v>
      </c>
      <c r="D6" s="3">
        <v>5885500</v>
      </c>
    </row>
    <row r="7" spans="1:4" x14ac:dyDescent="0.35">
      <c r="A7" t="s">
        <v>50</v>
      </c>
      <c r="B7" s="3">
        <v>4678900</v>
      </c>
      <c r="C7" s="3">
        <v>1992900</v>
      </c>
      <c r="D7" s="3">
        <v>6671800</v>
      </c>
    </row>
    <row r="8" spans="1:4" x14ac:dyDescent="0.35">
      <c r="A8" t="s">
        <v>16</v>
      </c>
      <c r="B8" s="3">
        <v>3878600</v>
      </c>
      <c r="C8" s="3">
        <v>4301400</v>
      </c>
      <c r="D8" s="3">
        <v>8180000</v>
      </c>
    </row>
    <row r="9" spans="1:4" x14ac:dyDescent="0.35">
      <c r="A9" t="s">
        <v>26</v>
      </c>
      <c r="B9" s="3">
        <v>4812700</v>
      </c>
      <c r="C9" s="3">
        <v>1962300</v>
      </c>
      <c r="D9" s="3">
        <v>6775000</v>
      </c>
    </row>
    <row r="10" spans="1:4" x14ac:dyDescent="0.35">
      <c r="A10" t="s">
        <v>58</v>
      </c>
      <c r="B10" s="3">
        <v>3843400</v>
      </c>
      <c r="C10" s="3">
        <v>3017100</v>
      </c>
      <c r="D10" s="3">
        <v>6860500</v>
      </c>
    </row>
    <row r="11" spans="1:4" x14ac:dyDescent="0.35">
      <c r="A11" t="s">
        <v>73</v>
      </c>
      <c r="B11" s="3">
        <v>3825000</v>
      </c>
      <c r="C11" s="3">
        <v>2733700</v>
      </c>
      <c r="D11" s="3">
        <v>6558700</v>
      </c>
    </row>
    <row r="12" spans="1:4" x14ac:dyDescent="0.35">
      <c r="A12" t="s">
        <v>42</v>
      </c>
      <c r="B12" s="3">
        <v>3242500</v>
      </c>
      <c r="C12" s="3">
        <v>1684200</v>
      </c>
      <c r="D12" s="3">
        <v>4926700</v>
      </c>
    </row>
    <row r="13" spans="1:4" x14ac:dyDescent="0.35">
      <c r="A13" t="s">
        <v>65</v>
      </c>
      <c r="B13" s="3">
        <v>4705900</v>
      </c>
      <c r="C13" s="3">
        <v>1900000</v>
      </c>
      <c r="D13" s="3">
        <v>6605900</v>
      </c>
    </row>
    <row r="14" spans="1:4" x14ac:dyDescent="0.35">
      <c r="A14" t="s">
        <v>1248</v>
      </c>
      <c r="B14" s="3">
        <v>32966000</v>
      </c>
      <c r="C14" s="3">
        <v>19498100</v>
      </c>
      <c r="D14" s="3">
        <v>52464100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Region Lookup</vt:lpstr>
      <vt:lpstr>Branch Summary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senoi naurori</cp:lastModifiedBy>
  <dcterms:created xsi:type="dcterms:W3CDTF">2026-10-25T20:53:21Z</dcterms:created>
  <dcterms:modified xsi:type="dcterms:W3CDTF">2026-10-25T20:53:27Z</dcterms:modified>
</cp:coreProperties>
</file>